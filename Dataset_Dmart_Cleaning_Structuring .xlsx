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eace367ba376db1/Desktop/advance excel/"/>
    </mc:Choice>
  </mc:AlternateContent>
  <xr:revisionPtr revIDLastSave="0" documentId="8_{A6BA3354-E551-4B11-9691-6A5E7D5665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6" r:id="rId2"/>
    <sheet name="Sheet3" sheetId="7" r:id="rId3"/>
    <sheet name="Sheet4" sheetId="8" r:id="rId4"/>
  </sheets>
  <definedNames>
    <definedName name="_xlnm._FilterDatabase" localSheetId="2" hidden="1">Sheet3!$L$19:$L$26</definedName>
    <definedName name="Category">Table2[Category]</definedName>
    <definedName name="discount">Table2[discount]</definedName>
    <definedName name="Region">Table2[Region]</definedName>
    <definedName name="SALES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S43" i="1" l="1" a="1"/>
  <c r="S42" i="1"/>
  <c r="N21" i="7"/>
  <c r="N20" i="7"/>
  <c r="F28" i="7"/>
  <c r="S39" i="1" a="1"/>
  <c r="S37" i="1"/>
  <c r="S36" i="1"/>
  <c r="S34" i="1" a="1"/>
  <c r="S33" i="1" a="1"/>
  <c r="S32" i="1" a="1"/>
  <c r="S31" i="1" a="1"/>
  <c r="S29" i="1"/>
  <c r="S28" i="1"/>
  <c r="S27" i="1"/>
  <c r="S26" i="1"/>
  <c r="S24" i="1"/>
  <c r="S22" i="1" a="1"/>
  <c r="S21" i="1" a="1"/>
  <c r="S20" i="1" a="1"/>
  <c r="S19" i="1" a="1"/>
  <c r="S15" i="1"/>
  <c r="S14" i="1"/>
  <c r="S13" i="1"/>
  <c r="S12" i="1"/>
  <c r="W10" i="1" a="1"/>
  <c r="W9" i="1" a="1"/>
  <c r="F46" i="8"/>
  <c r="F45" i="8"/>
  <c r="V6" i="1"/>
  <c r="V5" i="1"/>
  <c r="V4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C36" i="8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P2" i="1"/>
  <c r="C2" i="8"/>
  <c r="J25" i="7"/>
  <c r="J24" i="7"/>
  <c r="J23" i="7"/>
  <c r="J22" i="7"/>
  <c r="E19" i="7"/>
  <c r="E18" i="7"/>
  <c r="L17" i="7"/>
  <c r="K17" i="7"/>
  <c r="E17" i="7"/>
  <c r="L16" i="7"/>
  <c r="K16" i="7"/>
  <c r="E16" i="7"/>
  <c r="L15" i="7"/>
  <c r="K15" i="7"/>
  <c r="E15" i="7"/>
  <c r="L14" i="7"/>
  <c r="K14" i="7"/>
  <c r="E14" i="7"/>
  <c r="E13" i="7"/>
  <c r="E1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<sst xmlns="http://schemas.openxmlformats.org/spreadsheetml/2006/main" count="4203" uniqueCount="691">
  <si>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</si>
  <si>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</si>
  <si>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</si>
  <si>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</si>
  <si>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</si>
  <si>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</si>
  <si>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</si>
  <si>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</si>
  <si>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</si>
  <si>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</si>
  <si>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</si>
  <si>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</si>
  <si>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</si>
  <si>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</si>
  <si>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</si>
  <si>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</si>
  <si>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</si>
  <si>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</si>
  <si>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</si>
  <si>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</si>
  <si>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</si>
  <si>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</si>
  <si>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</si>
  <si>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</si>
  <si>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</si>
  <si>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</si>
  <si>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</si>
  <si>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</si>
  <si>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</si>
  <si>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</si>
  <si>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</si>
  <si>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</si>
  <si>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</si>
  <si>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</si>
  <si>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</si>
  <si>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</si>
  <si>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</si>
  <si>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</si>
  <si>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</si>
  <si>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</si>
  <si>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</si>
  <si>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</si>
  <si>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</si>
  <si>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</si>
  <si>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</si>
  <si>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</si>
  <si>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</si>
  <si>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</si>
  <si>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</si>
  <si>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</si>
  <si>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</si>
  <si>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</si>
  <si>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</si>
  <si>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</si>
  <si>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</si>
  <si>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</si>
  <si>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</si>
  <si>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</si>
  <si>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</si>
  <si>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</si>
  <si>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</si>
  <si>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</si>
  <si>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</si>
  <si>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</si>
  <si>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</si>
  <si>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</si>
  <si>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</si>
  <si>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</si>
  <si>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</si>
  <si>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</si>
  <si>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</si>
  <si>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</si>
  <si>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</si>
  <si>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</si>
  <si>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</si>
  <si>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</si>
  <si>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</si>
  <si>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</si>
  <si>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</si>
  <si>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</si>
  <si>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</si>
  <si>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</si>
  <si>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</si>
  <si>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</si>
  <si>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</si>
  <si>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</si>
  <si>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</si>
  <si>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</si>
  <si>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</si>
  <si>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</si>
  <si>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</si>
  <si>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</si>
  <si>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</si>
  <si>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</si>
  <si>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</si>
  <si>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</si>
  <si>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</si>
  <si>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</si>
  <si>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</si>
  <si>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</si>
  <si>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</si>
  <si>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</si>
  <si>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</si>
  <si>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</si>
  <si>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</si>
  <si>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</si>
  <si>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</si>
  <si>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</si>
  <si>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</si>
  <si>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</si>
  <si>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</si>
  <si>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</si>
  <si>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</si>
  <si>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</si>
  <si>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</si>
  <si>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</si>
  <si>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</si>
  <si>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</si>
  <si>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</si>
  <si>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</si>
  <si>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</si>
  <si>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</si>
  <si>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</si>
  <si>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</si>
  <si>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</si>
  <si>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</si>
  <si>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</si>
  <si>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</si>
  <si>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</si>
  <si>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</si>
  <si>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</si>
  <si>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</si>
  <si>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</si>
  <si>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</si>
  <si>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</si>
  <si>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</si>
  <si>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</si>
  <si>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</si>
  <si>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</si>
  <si>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</si>
  <si>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</si>
  <si>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</si>
  <si>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</si>
  <si>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</si>
  <si>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</si>
  <si>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</si>
  <si>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</si>
  <si>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</si>
  <si>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</si>
  <si>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</si>
  <si>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</si>
  <si>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</si>
  <si>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</si>
  <si>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</si>
  <si>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</si>
  <si>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</si>
  <si>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</si>
  <si>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</si>
  <si>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</si>
  <si>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</si>
  <si>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</si>
  <si>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</si>
  <si>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</si>
  <si>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</si>
  <si>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</si>
  <si>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</si>
  <si>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</si>
  <si>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</si>
  <si>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</si>
  <si>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</si>
  <si>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</si>
  <si>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</si>
  <si>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</si>
  <si>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</si>
  <si>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</si>
  <si>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</si>
  <si>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</si>
  <si>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</si>
  <si>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</si>
  <si>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</si>
  <si>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</si>
  <si>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</si>
  <si>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</si>
  <si>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</si>
  <si>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</si>
  <si>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</si>
  <si>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</si>
  <si>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</si>
  <si>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</si>
  <si>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</si>
  <si>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</si>
  <si>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</si>
  <si>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</si>
  <si>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</si>
  <si>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</si>
  <si>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</si>
  <si>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</si>
  <si>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</si>
  <si>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</si>
  <si>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</si>
  <si>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</si>
  <si>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</si>
  <si>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</si>
  <si>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</si>
  <si>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</si>
  <si>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</si>
  <si>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</si>
  <si>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</si>
  <si>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</si>
  <si>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</si>
  <si>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</si>
  <si>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</si>
  <si>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</si>
  <si>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</si>
  <si>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</si>
  <si>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</si>
  <si>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</si>
  <si>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</si>
  <si>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</si>
  <si>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</si>
  <si>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</si>
  <si>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</si>
  <si>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</si>
  <si>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</si>
  <si>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</si>
  <si>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</si>
  <si>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</si>
  <si>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</si>
  <si>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</si>
  <si>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</si>
  <si>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</si>
  <si>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</si>
  <si>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</si>
  <si>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</si>
  <si>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</si>
  <si>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</si>
  <si>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</si>
  <si>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</si>
  <si>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</si>
  <si>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</si>
  <si>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</si>
  <si>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</si>
  <si>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</si>
  <si>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</si>
  <si>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</si>
  <si>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</si>
  <si>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</si>
  <si>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</si>
  <si>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</si>
  <si>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</si>
  <si>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</si>
  <si>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</si>
  <si>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</si>
  <si>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</si>
  <si>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</si>
  <si>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</si>
  <si>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</si>
  <si>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</si>
  <si>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</si>
  <si>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</si>
  <si>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</si>
  <si>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</si>
  <si>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</si>
  <si>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</si>
  <si>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</si>
  <si>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</si>
  <si>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</si>
  <si>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</si>
  <si>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</si>
  <si>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</si>
  <si>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</si>
  <si>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</si>
  <si>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</si>
  <si>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</si>
  <si>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</si>
  <si>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</si>
  <si>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</si>
  <si>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</si>
  <si>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</si>
  <si>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</si>
  <si>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</si>
  <si>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</si>
  <si>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</si>
  <si>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</si>
  <si>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</si>
  <si>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</si>
  <si>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</si>
  <si>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</si>
  <si>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</si>
  <si>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</si>
  <si>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</si>
  <si>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</si>
  <si>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</si>
  <si>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</si>
  <si>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</si>
  <si>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</si>
  <si>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</si>
  <si>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</si>
  <si>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</si>
  <si>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</si>
  <si>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</si>
  <si>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</si>
  <si>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</si>
  <si>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</si>
  <si>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</si>
  <si>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</si>
  <si>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</si>
  <si>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</si>
  <si>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</si>
  <si>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</si>
  <si>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</si>
  <si>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</si>
  <si>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</si>
  <si>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</si>
  <si>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</si>
  <si>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</si>
  <si>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</si>
  <si>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</si>
  <si>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</si>
  <si>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</si>
  <si>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</si>
  <si>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</si>
  <si>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</si>
  <si>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</si>
  <si>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</si>
  <si>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</si>
  <si>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</si>
  <si>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</si>
  <si>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</si>
  <si>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</si>
  <si>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</si>
  <si>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</si>
  <si>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</si>
  <si>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</si>
  <si>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</si>
  <si>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</si>
  <si>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</si>
  <si>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</si>
  <si>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</si>
  <si>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</si>
  <si>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</si>
  <si>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</si>
  <si>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</si>
  <si>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</si>
  <si>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</si>
  <si>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</si>
  <si>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</si>
  <si>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</si>
  <si>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</si>
  <si>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</si>
  <si>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</si>
  <si>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</si>
  <si>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</si>
  <si>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</si>
  <si>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</si>
  <si>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</si>
  <si>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</si>
  <si>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</si>
  <si>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</si>
  <si>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</si>
  <si>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</si>
  <si>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</si>
  <si>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</si>
  <si>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</si>
  <si>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</si>
  <si>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</si>
  <si>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</si>
  <si>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</si>
  <si>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</si>
  <si>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</si>
  <si>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</si>
  <si>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</si>
  <si>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</si>
  <si>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</si>
  <si>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</si>
  <si>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</si>
  <si>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</si>
  <si>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</si>
  <si>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</si>
  <si>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</si>
  <si>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</si>
  <si>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</si>
  <si>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</si>
  <si>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</si>
  <si>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</si>
  <si>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</si>
  <si>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</si>
  <si>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</si>
  <si>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</si>
  <si>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</si>
  <si>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</si>
  <si>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</si>
  <si>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</si>
  <si>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</si>
  <si>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</si>
  <si>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</si>
  <si>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</si>
  <si>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</si>
  <si>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</si>
  <si>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</si>
  <si>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</si>
  <si>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</si>
  <si>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</si>
  <si>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</si>
  <si>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</si>
  <si>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</si>
  <si>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</si>
  <si>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</si>
  <si>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</si>
  <si>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</si>
  <si>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</si>
  <si>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</si>
  <si>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</si>
  <si>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</si>
  <si>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</si>
  <si>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</si>
  <si>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</si>
  <si>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</si>
  <si>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</si>
  <si>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</si>
  <si>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</si>
  <si>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</si>
  <si>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</si>
  <si>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</si>
  <si>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</si>
  <si>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</si>
  <si>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</si>
  <si>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</si>
  <si>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</si>
  <si>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</si>
  <si>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</si>
  <si>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</si>
  <si>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</si>
  <si>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</si>
  <si>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</si>
  <si>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</si>
  <si>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</si>
  <si>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</si>
  <si>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</si>
  <si>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</si>
  <si>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</si>
  <si>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</si>
  <si>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</si>
  <si>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</si>
  <si>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</si>
  <si>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</si>
  <si>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</si>
  <si>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</si>
  <si>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</si>
  <si>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</si>
  <si>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</si>
  <si>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</si>
  <si>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</si>
  <si>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</si>
  <si>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</si>
  <si>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</si>
  <si>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</si>
  <si>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</si>
  <si>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</si>
  <si>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</si>
  <si>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</si>
  <si>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</si>
  <si>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</si>
  <si>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</si>
  <si>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</si>
  <si>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</si>
  <si>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</si>
  <si>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</si>
  <si>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</si>
  <si>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</si>
  <si>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</si>
  <si>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</si>
  <si>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</si>
  <si>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</si>
  <si>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</si>
  <si>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</si>
  <si>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</si>
  <si>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</si>
  <si>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</si>
  <si>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</si>
  <si>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</si>
  <si>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</si>
  <si>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</si>
  <si>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</si>
  <si>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</si>
  <si>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</si>
  <si>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</si>
  <si>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</si>
  <si>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</si>
  <si>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</si>
  <si>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</si>
  <si>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</si>
  <si>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</si>
  <si>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</si>
  <si>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</si>
  <si>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</si>
  <si>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</si>
  <si>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</si>
  <si>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</si>
  <si>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</si>
  <si>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</si>
  <si>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</si>
  <si>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</si>
  <si>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</si>
  <si>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</si>
  <si>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</si>
  <si>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</si>
  <si>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</si>
  <si>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</si>
  <si>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</si>
  <si>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</si>
  <si>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</si>
  <si>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</si>
  <si>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</si>
  <si>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</si>
  <si>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</si>
  <si>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</si>
  <si>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</si>
  <si>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</si>
  <si>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</si>
  <si>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</si>
  <si>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</si>
  <si>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</si>
  <si>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</si>
  <si>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</si>
  <si>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</si>
  <si>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</si>
  <si>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</si>
  <si>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</si>
  <si>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</si>
  <si>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</si>
  <si>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</si>
  <si>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</si>
  <si>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</si>
  <si>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</si>
  <si>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</si>
  <si>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</si>
  <si>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</si>
  <si>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</si>
  <si>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</si>
  <si>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</si>
  <si>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</si>
  <si>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</t>
  </si>
  <si>
    <t>Updated_City</t>
  </si>
  <si>
    <t xml:space="preserve">Mumbai </t>
  </si>
  <si>
    <t>First_Name</t>
  </si>
  <si>
    <t>Last_Name</t>
  </si>
  <si>
    <t>Full_name</t>
  </si>
  <si>
    <t>Shreyas</t>
  </si>
  <si>
    <t>Abhishek</t>
  </si>
  <si>
    <t>Sanju</t>
  </si>
  <si>
    <t>Sachin</t>
  </si>
  <si>
    <t>Iyer</t>
  </si>
  <si>
    <t>Sharma</t>
  </si>
  <si>
    <t>Samson</t>
  </si>
  <si>
    <t>Tendulkar</t>
  </si>
  <si>
    <t>Shreyas  Iyer</t>
  </si>
  <si>
    <t>Abhishek  Sharma</t>
  </si>
  <si>
    <t>Sanju  Samson</t>
  </si>
  <si>
    <t>Sachin  Tendulkar</t>
  </si>
  <si>
    <t>email</t>
  </si>
  <si>
    <t>siyer@gmail.com</t>
  </si>
  <si>
    <t>asharma@yahoo.com</t>
  </si>
  <si>
    <t>samson@gmail.com</t>
  </si>
  <si>
    <t>stendulkar@eeediff.com</t>
  </si>
  <si>
    <t>username</t>
  </si>
  <si>
    <t>contact-no</t>
  </si>
  <si>
    <t>siyer</t>
  </si>
  <si>
    <t>asharma</t>
  </si>
  <si>
    <t>samson</t>
  </si>
  <si>
    <t>stendulkar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</si>
  <si>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</si>
  <si>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</si>
  <si>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</si>
  <si>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</si>
  <si>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</si>
  <si>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</si>
  <si>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</si>
  <si>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>Department</t>
  </si>
  <si>
    <t>Names</t>
  </si>
  <si>
    <t>Month</t>
  </si>
  <si>
    <t>Sales</t>
  </si>
  <si>
    <t>IT</t>
  </si>
  <si>
    <t>Week 1</t>
  </si>
  <si>
    <t>Week 2</t>
  </si>
  <si>
    <t>Ketan</t>
  </si>
  <si>
    <t>March</t>
  </si>
  <si>
    <t>Week 3</t>
  </si>
  <si>
    <t>Ankit</t>
  </si>
  <si>
    <t>August</t>
  </si>
  <si>
    <t>Emplyees Names</t>
  </si>
  <si>
    <t>Finance</t>
  </si>
  <si>
    <t>Neha</t>
  </si>
  <si>
    <t>September</t>
  </si>
  <si>
    <t>HR</t>
  </si>
  <si>
    <t>Pooja</t>
  </si>
  <si>
    <t>October</t>
  </si>
  <si>
    <t>Ramesh</t>
  </si>
  <si>
    <t>November</t>
  </si>
  <si>
    <t>Sunil</t>
  </si>
  <si>
    <t>December</t>
  </si>
  <si>
    <t>Months</t>
  </si>
  <si>
    <t>Target_Achieved</t>
  </si>
  <si>
    <t>January</t>
  </si>
  <si>
    <t>February</t>
  </si>
  <si>
    <t>Name</t>
  </si>
  <si>
    <t>English</t>
  </si>
  <si>
    <t>Maths</t>
  </si>
  <si>
    <t>Science</t>
  </si>
  <si>
    <t>Grade</t>
  </si>
  <si>
    <t>Manish</t>
  </si>
  <si>
    <t>April</t>
  </si>
  <si>
    <t>Priya</t>
  </si>
  <si>
    <t>May</t>
  </si>
  <si>
    <t>Snehal</t>
  </si>
  <si>
    <t>June</t>
  </si>
  <si>
    <t>Mangesh</t>
  </si>
  <si>
    <t>July</t>
  </si>
  <si>
    <t>City</t>
  </si>
  <si>
    <t>Marks</t>
  </si>
  <si>
    <t>Status</t>
  </si>
  <si>
    <t>Nagpur</t>
  </si>
  <si>
    <t>Wardha</t>
  </si>
  <si>
    <t>&gt;90</t>
  </si>
  <si>
    <t>&gt;75</t>
  </si>
  <si>
    <t>&gt;60</t>
  </si>
  <si>
    <t>&gt;40</t>
  </si>
  <si>
    <t>ELSE</t>
  </si>
  <si>
    <t>A++</t>
  </si>
  <si>
    <t>A+</t>
  </si>
  <si>
    <t>A</t>
  </si>
  <si>
    <t>B</t>
  </si>
  <si>
    <t>Fail</t>
  </si>
  <si>
    <t>Salary</t>
  </si>
  <si>
    <t>Sahil</t>
  </si>
  <si>
    <t>Bonus</t>
  </si>
  <si>
    <t>&lt;50000</t>
  </si>
  <si>
    <t>No Bonus</t>
  </si>
  <si>
    <t>Sale Range</t>
  </si>
  <si>
    <t>Bonus Amount</t>
  </si>
  <si>
    <t>Number-1</t>
  </si>
  <si>
    <t>Number-2</t>
  </si>
  <si>
    <t>Division</t>
  </si>
  <si>
    <t>sales_category</t>
  </si>
  <si>
    <t>Discount_Categoory</t>
  </si>
  <si>
    <t>Total Sale bove</t>
  </si>
  <si>
    <t>Total Sale by UPI mode of Payment</t>
  </si>
  <si>
    <t>Total Sale by CARD mode of Payment</t>
  </si>
  <si>
    <t>Total Sale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</si>
  <si>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</si>
  <si>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</si>
  <si>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</si>
  <si>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</si>
  <si>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</si>
  <si>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</si>
  <si>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</si>
  <si>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</si>
  <si>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</si>
  <si>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 xml:space="preserve">fruits Sale </t>
  </si>
  <si>
    <t>No Category Sales</t>
  </si>
  <si>
    <t>Bread</t>
  </si>
  <si>
    <t>Total Sales by category:clothing region East</t>
  </si>
  <si>
    <t>Total Sales by category:Electronics and region North and Discount is&gt;40%</t>
  </si>
  <si>
    <t>Total orders</t>
  </si>
  <si>
    <t>Count transactions made by UPI</t>
  </si>
  <si>
    <t>Count transactions made by Card</t>
  </si>
  <si>
    <t>Count transactions made by Cash</t>
  </si>
  <si>
    <t>Find number of transactions having sales values more than 4000</t>
  </si>
  <si>
    <t>Find number of transactions having sales value more than 4000 but region wise</t>
  </si>
  <si>
    <t>Total sales for customer_types members and payment_mode is UPI or card</t>
  </si>
  <si>
    <t xml:space="preserve">total sales for north region </t>
  </si>
  <si>
    <t xml:space="preserve">total sales for south region </t>
  </si>
  <si>
    <t>total sales for east region</t>
  </si>
  <si>
    <t>total sales for west region</t>
  </si>
  <si>
    <t>Number of order from north</t>
  </si>
  <si>
    <t>Number of order from south</t>
  </si>
  <si>
    <t>Number of order from east</t>
  </si>
  <si>
    <t>Number of order from west</t>
  </si>
  <si>
    <t>sales for last 6 month sales</t>
  </si>
  <si>
    <t>total sales for year 2023</t>
  </si>
  <si>
    <t>sales last 6 month sales</t>
  </si>
  <si>
    <t xml:space="preserve">Names </t>
  </si>
  <si>
    <t>EmployeeID</t>
  </si>
  <si>
    <t>Find Duplicate in EMPLOYEES ID</t>
  </si>
  <si>
    <t>Data</t>
  </si>
  <si>
    <t>sum</t>
  </si>
  <si>
    <t>average</t>
  </si>
  <si>
    <t>Subtotal</t>
  </si>
  <si>
    <t>Total salees</t>
  </si>
  <si>
    <t>Total salees(using SUBTOTAL)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</si>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</sst>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65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0" borderId="9" xfId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2" fillId="2" borderId="7" xfId="0" applyFont="1" applyFill="1" applyBorder="1" applyAlignment="1">
      <alignment horizontal="center"/>
    </xf>
    <xf numFmtId="0" fontId="10" fillId="3" borderId="1" xfId="0" applyFont="1" applyFill="1" applyBorder="1"/>
    <xf numFmtId="0" fontId="10" fillId="0" borderId="5" xfId="0" applyFont="1" applyBorder="1"/>
    <xf numFmtId="0" fontId="10" fillId="3" borderId="5" xfId="0" applyFont="1" applyFill="1" applyBorder="1"/>
    <xf numFmtId="0" fontId="9" fillId="0" borderId="9" xfId="0" applyFont="1" applyBorder="1"/>
    <xf numFmtId="0" fontId="0" fillId="0" borderId="9" xfId="0" applyBorder="1"/>
    <xf numFmtId="0" fontId="9" fillId="4" borderId="9" xfId="0" applyFont="1" applyFill="1" applyBorder="1"/>
    <xf numFmtId="0" fontId="3" fillId="0" borderId="9" xfId="0" applyFont="1" applyBorder="1"/>
    <xf numFmtId="0" fontId="3" fillId="4" borderId="9" xfId="0" applyFont="1" applyFill="1" applyBorder="1"/>
    <xf numFmtId="0" fontId="9" fillId="4" borderId="9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9" fontId="0" fillId="0" borderId="0" xfId="0" applyNumberFormat="1"/>
    <xf numFmtId="0" fontId="3" fillId="0" borderId="9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8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4" fillId="0" borderId="9" xfId="0" applyFont="1" applyBorder="1"/>
    <xf numFmtId="165" fontId="14" fillId="0" borderId="9" xfId="0" applyNumberFormat="1" applyFont="1" applyBorder="1"/>
    <xf numFmtId="0" fontId="16" fillId="6" borderId="0" xfId="0" applyFont="1" applyFill="1" applyAlignment="1">
      <alignment vertical="top" wrapText="1" indent="1"/>
    </xf>
    <xf numFmtId="165" fontId="16" fillId="6" borderId="0" xfId="0" applyNumberFormat="1" applyFont="1" applyFill="1" applyAlignment="1">
      <alignment vertical="top" wrapText="1" indent="1"/>
    </xf>
    <xf numFmtId="0" fontId="15" fillId="5" borderId="1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/>
    </xf>
    <xf numFmtId="0" fontId="1" fillId="0" borderId="9" xfId="0" applyFont="1" applyBorder="1"/>
    <xf numFmtId="0" fontId="1" fillId="0" borderId="0" xfId="0" applyFont="1"/>
    <xf numFmtId="0" fontId="9" fillId="0" borderId="0" xfId="0" applyFont="1" applyAlignment="1">
      <alignment horizontal="center" vertical="top"/>
    </xf>
    <xf numFmtId="0" fontId="4" fillId="0" borderId="9" xfId="0" applyFont="1" applyBorder="1"/>
    <xf numFmtId="0" fontId="0" fillId="0" borderId="9" xfId="0" applyBorder="1" applyAlignment="1">
      <alignment vertical="center" wrapText="1"/>
    </xf>
    <xf numFmtId="0" fontId="0" fillId="0" borderId="0" xfId="0" applyAlignment="1">
      <alignment horizontal="right"/>
    </xf>
    <xf numFmtId="0" fontId="13" fillId="0" borderId="9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11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0" fillId="0" borderId="9" xfId="0" applyFont="1" applyBorder="1" applyAlignment="1">
      <alignment horizontal="left"/>
    </xf>
    <xf numFmtId="0" fontId="1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88DE95-B0BD-4335-B2A9-8A65CAC83435}" name="Table2" displayName="Table2" ref="A1:P499" totalsRowShown="0" headerRowDxfId="21" dataDxfId="20" tableBorderDxfId="19">
  <autoFilter ref="A1:P499" xr:uid="{8E88DE95-B0BD-4335-B2A9-8A65CAC83435}"/>
  <tableColumns count="16">
    <tableColumn id="1" xr3:uid="{33A6352A-99FF-40C3-8FB3-C120015BB52D}" name="Column1" dataDxfId="18"/>
    <tableColumn id="2" xr3:uid="{09DD72C2-1F8C-4C2D-8BE9-BA971CA5671D}" name="Region" dataDxfId="17"/>
    <tableColumn id="18" xr3:uid="{2499E3AA-BBB8-4700-8923-8755AC4D74B2}" name="Updated_Region" dataDxfId="16"/>
    <tableColumn id="3" xr3:uid="{80C830FA-D55D-48B6-BA15-1E99B19D38CD}" name="Category" dataDxfId="15"/>
    <tableColumn id="4" xr3:uid="{B7DC394B-D36F-4633-A092-98EB7EFEEB38}" name="sales" dataDxfId="14"/>
    <tableColumn id="14" xr3:uid="{70B8E100-40FB-4409-9E97-A2A1691DE89F}" name="sales_category" dataDxfId="13">
      <calculatedColumnFormula>IF(Table2[[#This Row],[sales]]&gt;3000,"High Sales",IF(Table2[[#This Row],[sales]]&gt;1000,"Medium Sales","Low Sales"))</calculatedColumnFormula>
    </tableColumn>
    <tableColumn id="5" xr3:uid="{20DE8042-A3F2-4A4E-B3CE-737DC7E244AB}" name="discount" dataDxfId="12"/>
    <tableColumn id="6" xr3:uid="{69D55798-0751-4FF2-B010-395A547B8980}" name="quantity" dataDxfId="11"/>
    <tableColumn id="7" xr3:uid="{3F5E8FC8-F28C-45A2-805B-805513FA6513}" name="order_date" dataDxfId="10"/>
    <tableColumn id="8" xr3:uid="{CFE80E5B-F33F-4F14-A927-24703092A44F}" name="delivery_date" dataDxfId="9"/>
    <tableColumn id="9" xr3:uid="{ACB67BEB-F6FF-44DA-AD32-3191743CC411}" name="customer_type" dataDxfId="8"/>
    <tableColumn id="11" xr3:uid="{C81187C3-9115-494E-8ECC-D0A69A7A54BB}" name="payment_mode" dataDxfId="7"/>
    <tableColumn id="12" xr3:uid="{FB806996-91F3-4FB5-A59B-53241231CF6E}" name="profit" dataDxfId="6"/>
    <tableColumn id="17" xr3:uid="{F6C6EF74-634B-4205-8B0F-2C8DE0C90EEC}" name="Updated_City" dataDxfId="5"/>
    <tableColumn id="13" xr3:uid="{F23BC667-8313-4AB7-B68C-26C9C43A537D}" name="city" dataDxfId="4"/>
    <tableColumn id="15" xr3:uid="{0ED28A6E-B743-4486-BCF0-26502FE8FE6A}" name="Discount_Categoory" dataDxfId="3">
      <calculatedColumnFormula>IF(AND(Table2[[#This Row],[customer_type]]="MEMBER",OR(Table2[[#This Row],[payment_mode]]="UPI",Table2[[#This Row],[payment_mode]]="CARD")),"YES","NO")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eeediff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K23" zoomScaleNormal="100" workbookViewId="0">
      <selection activeCell="U32" sqref="U32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2.77734375" bestFit="1" customWidth="1"/>
    <col min="5" max="5" width="9.77734375" bestFit="1" customWidth="1"/>
    <col min="6" max="6" width="17.77734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7.21875" bestFit="1" customWidth="1"/>
    <col min="12" max="12" width="17.77734375" bestFit="1" customWidth="1"/>
    <col min="13" max="13" width="11.33203125" customWidth="1"/>
    <col min="14" max="14" width="17.88671875" customWidth="1"/>
    <col min="15" max="15" width="15" customWidth="1"/>
    <col min="16" max="16" width="21.44140625" bestFit="1" customWidth="1"/>
    <col min="17" max="17" width="8.6640625" customWidth="1"/>
    <col min="18" max="18" width="62.109375" customWidth="1"/>
    <col min="19" max="20" width="8.6640625" customWidth="1"/>
    <col min="21" max="21" width="5.5546875" customWidth="1"/>
    <col min="22" max="22" width="28.44140625" customWidth="1"/>
    <col min="23" max="25" width="8.6640625" customWidth="1"/>
  </cols>
  <sheetData>
    <row r="1" spans="1:27" ht="14.25" customHeight="1" x14ac:dyDescent="0.3">
      <c r="A1" s="20" t="s">
        <v>0</v>
      </c>
      <c r="B1" s="21" t="s">
        <v>1</v>
      </c>
      <c r="C1" s="28" t="s">
        <v>576</v>
      </c>
      <c r="D1" s="21" t="s">
        <v>2</v>
      </c>
      <c r="E1" s="21" t="s">
        <v>3</v>
      </c>
      <c r="F1" s="21" t="s">
        <v>643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543</v>
      </c>
      <c r="O1" s="23" t="s">
        <v>11</v>
      </c>
      <c r="P1" s="44" t="s">
        <v>644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29" t="s">
        <v>13</v>
      </c>
      <c r="D2" s="5" t="s">
        <v>14</v>
      </c>
      <c r="E2" s="5">
        <v>713.49</v>
      </c>
      <c r="F2" s="5" t="str">
        <f>IF(Table2[[#This Row],[sales]]&gt;3000,"High Sales",IF(Table2[[#This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2" t="str">
        <f>IF(AND(Table2[[#This Row],[customer_type]]="MEMBER",OR(Table2[[#This Row],[payment_mode]]="UPI",Table2[[#This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30" t="s">
        <v>577</v>
      </c>
      <c r="C3" s="30" t="s">
        <v>577</v>
      </c>
      <c r="D3" s="10" t="s">
        <v>19</v>
      </c>
      <c r="E3" s="10">
        <v>3802.97</v>
      </c>
      <c r="F3" s="5" t="str">
        <f>IF(Table2[[#This Row],[sales]]&gt;3000,"High Sales",IF(Table2[[#This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10" t="s">
        <v>544</v>
      </c>
      <c r="O3" s="12" t="s">
        <v>22</v>
      </c>
      <c r="P3" s="2" t="str">
        <f>IF(AND(Table2[[#This Row],[customer_type]]="MEMBER",OR(Table2[[#This Row],[payment_mode]]="UPI",Table2[[#This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31" t="s">
        <v>24</v>
      </c>
      <c r="D4" s="15" t="s">
        <v>25</v>
      </c>
      <c r="E4" s="15">
        <v>3588.97</v>
      </c>
      <c r="F4" s="5" t="str">
        <f>IF(Table2[[#This Row],[sales]]&gt;3000,"High Sales",IF(Table2[[#This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2" t="str">
        <f>IF(AND(Table2[[#This Row],[customer_type]]="MEMBER",OR(Table2[[#This Row],[payment_mode]]="UPI",Table2[[#This Row],[payment_mode]]="CARD")),"YES","NO")</f>
        <v>NO</v>
      </c>
      <c r="Q4" s="1"/>
      <c r="R4" s="59" t="s">
        <v>646</v>
      </c>
      <c r="S4" s="59"/>
      <c r="T4" s="59"/>
      <c r="U4" s="59"/>
      <c r="V4" s="47">
        <f>SUMIF(Table2[payment_mode],"=UPI",Table2[sales])</f>
        <v>386412.25</v>
      </c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30" t="s">
        <v>29</v>
      </c>
      <c r="D5" s="10" t="s">
        <v>19</v>
      </c>
      <c r="E5" s="10">
        <v>1160.8599999999999</v>
      </c>
      <c r="F5" s="5" t="str">
        <f>IF(Table2[[#This Row],[sales]]&gt;3000,"High Sales",IF(Table2[[#This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2" t="str">
        <f>IF(AND(Table2[[#This Row],[customer_type]]="MEMBER",OR(Table2[[#This Row],[payment_mode]]="UPI",Table2[[#This Row],[payment_mode]]="CARD")),"YES","NO")</f>
        <v>YES</v>
      </c>
      <c r="Q5" s="1"/>
      <c r="R5" s="60" t="s">
        <v>647</v>
      </c>
      <c r="S5" s="61"/>
      <c r="T5" s="61"/>
      <c r="U5" s="62"/>
      <c r="V5" s="47">
        <f>SUMIF(Table2[payment_mode],"=CARD",Table2[sales])</f>
        <v>413292.63999999996</v>
      </c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29" t="s">
        <v>13</v>
      </c>
      <c r="D6" s="15" t="s">
        <v>19</v>
      </c>
      <c r="E6" s="15">
        <v>3071.32</v>
      </c>
      <c r="F6" s="5" t="str">
        <f>IF(Table2[[#This Row],[sales]]&gt;3000,"High Sales",IF(Table2[[#This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10" t="s">
        <v>17</v>
      </c>
      <c r="O6" s="17" t="s">
        <v>17</v>
      </c>
      <c r="P6" s="2" t="str">
        <f>IF(AND(Table2[[#This Row],[customer_type]]="MEMBER",OR(Table2[[#This Row],[payment_mode]]="UPI",Table2[[#This Row],[payment_mode]]="CARD")),"YES","NO")</f>
        <v>NO</v>
      </c>
      <c r="Q6" s="1"/>
      <c r="R6" s="60" t="s">
        <v>648</v>
      </c>
      <c r="S6" s="61"/>
      <c r="T6" s="61"/>
      <c r="U6" s="62"/>
      <c r="V6" s="47">
        <f>SUMIF(Table2[payment_mode],"=CASH",Table2[sales])</f>
        <v>522964.3</v>
      </c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577</v>
      </c>
      <c r="C7" s="30" t="s">
        <v>577</v>
      </c>
      <c r="D7" s="10" t="s">
        <v>34</v>
      </c>
      <c r="E7" s="10">
        <v>2566.1799999999998</v>
      </c>
      <c r="F7" s="5" t="str">
        <f>IF(Table2[[#This Row],[sales]]&gt;3000,"High Sales",IF(Table2[[#This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2" t="str">
        <f>IF(AND(Table2[[#This Row],[customer_type]]="MEMBER",OR(Table2[[#This Row],[payment_mode]]="UPI",Table2[[#This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31" t="s">
        <v>24</v>
      </c>
      <c r="D8" s="15" t="s">
        <v>37</v>
      </c>
      <c r="E8" s="15">
        <v>398</v>
      </c>
      <c r="F8" s="5" t="str">
        <f>IF(Table2[[#This Row],[sales]]&gt;3000,"High Sales",IF(Table2[[#This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2" t="str">
        <f>IF(AND(Table2[[#This Row],[customer_type]]="MEMBER",OR(Table2[[#This Row],[payment_mode]]="UPI",Table2[[#This Row],[payment_mode]]="CARD")),"YES","NO")</f>
        <v>NO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30" t="s">
        <v>29</v>
      </c>
      <c r="D9" s="10" t="s">
        <v>37</v>
      </c>
      <c r="E9" s="10">
        <v>1462.95</v>
      </c>
      <c r="F9" s="5" t="str">
        <f>IF(Table2[[#This Row],[sales]]&gt;3000,"High Sales",IF(Table2[[#This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2" t="str">
        <f>IF(AND(Table2[[#This Row],[customer_type]]="MEMBER",OR(Table2[[#This Row],[payment_mode]]="UPI",Table2[[#This Row],[payment_mode]]="CARD")),"YES","NO")</f>
        <v>NO</v>
      </c>
      <c r="Q9" s="1"/>
      <c r="R9" s="63" t="s">
        <v>661</v>
      </c>
      <c r="S9" s="63"/>
      <c r="T9" s="63"/>
      <c r="U9" s="63"/>
      <c r="V9" s="63"/>
      <c r="W9" s="46" cm="1">
        <f t="array" ref="W9">SUMIFS(SALES,Category,"Clothing",Region,"East")</f>
        <v>60655.859999999993</v>
      </c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29" t="s">
        <v>13</v>
      </c>
      <c r="D10" s="15" t="s">
        <v>37</v>
      </c>
      <c r="E10" s="15">
        <v>4997.47</v>
      </c>
      <c r="F10" s="5" t="str">
        <f>IF(Table2[[#This Row],[sales]]&gt;3000,"High Sales",IF(Table2[[#This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2" t="str">
        <f>IF(AND(Table2[[#This Row],[customer_type]]="MEMBER",OR(Table2[[#This Row],[payment_mode]]="UPI",Table2[[#This Row],[payment_mode]]="CARD")),"YES","NO")</f>
        <v>NO</v>
      </c>
      <c r="Q10" s="1"/>
      <c r="R10" s="63" t="s">
        <v>662</v>
      </c>
      <c r="S10" s="63"/>
      <c r="T10" s="63"/>
      <c r="U10" s="63"/>
      <c r="V10" s="63"/>
      <c r="W10" s="46" cm="1">
        <f t="array" ref="W10">SUMIFS(SALES,Category,"Electronics",Region,"North",discount,"&gt;40%")</f>
        <v>36091.269999999997</v>
      </c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577</v>
      </c>
      <c r="C11" s="30" t="s">
        <v>577</v>
      </c>
      <c r="D11" s="10" t="s">
        <v>34</v>
      </c>
      <c r="E11" s="10">
        <v>587.72</v>
      </c>
      <c r="F11" s="5" t="str">
        <f>IF(Table2[[#This Row],[sales]]&gt;3000,"High Sales",IF(Table2[[#This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2" t="str">
        <f>IF(AND(Table2[[#This Row],[customer_type]]="MEMBER",OR(Table2[[#This Row],[payment_mode]]="UPI",Table2[[#This Row],[payment_mode]]="CARD")),"YES","NO")</f>
        <v>NO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31" t="s">
        <v>24</v>
      </c>
      <c r="D12" s="15" t="s">
        <v>14</v>
      </c>
      <c r="E12" s="15">
        <v>2581.42</v>
      </c>
      <c r="F12" s="5" t="str">
        <f>IF(Table2[[#This Row],[sales]]&gt;3000,"High Sales",IF(Table2[[#This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15" t="s">
        <v>41</v>
      </c>
      <c r="O12" s="17" t="s">
        <v>44</v>
      </c>
      <c r="P12" s="2" t="str">
        <f>IF(AND(Table2[[#This Row],[customer_type]]="MEMBER",OR(Table2[[#This Row],[payment_mode]]="UPI",Table2[[#This Row],[payment_mode]]="CARD")),"YES","NO")</f>
        <v>NO</v>
      </c>
      <c r="Q12" s="1"/>
      <c r="R12" s="56" t="s">
        <v>663</v>
      </c>
      <c r="S12" s="56">
        <f>COUNT(SALES)</f>
        <v>498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30" t="s">
        <v>29</v>
      </c>
      <c r="D13" s="10" t="s">
        <v>14</v>
      </c>
      <c r="E13" s="10">
        <v>4261.74</v>
      </c>
      <c r="F13" s="5" t="str">
        <f>IF(Table2[[#This Row],[sales]]&gt;3000,"High Sales",IF(Table2[[#This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2" t="str">
        <f>IF(AND(Table2[[#This Row],[customer_type]]="MEMBER",OR(Table2[[#This Row],[payment_mode]]="UPI",Table2[[#This Row],[payment_mode]]="CARD")),"YES","NO")</f>
        <v>NO</v>
      </c>
      <c r="Q13" s="1"/>
      <c r="R13" s="56" t="s">
        <v>664</v>
      </c>
      <c r="S13" s="56">
        <f>COUNTIF(Table2[payment_mode],"UPI")</f>
        <v>149</v>
      </c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29" t="s">
        <v>13</v>
      </c>
      <c r="D14" s="15" t="s">
        <v>25</v>
      </c>
      <c r="E14" s="15">
        <v>1573.19</v>
      </c>
      <c r="F14" s="5" t="str">
        <f>IF(Table2[[#This Row],[sales]]&gt;3000,"High Sales",IF(Table2[[#This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2" t="str">
        <f>IF(AND(Table2[[#This Row],[customer_type]]="MEMBER",OR(Table2[[#This Row],[payment_mode]]="UPI",Table2[[#This Row],[payment_mode]]="CARD")),"YES","NO")</f>
        <v>NO</v>
      </c>
      <c r="Q14" s="1"/>
      <c r="R14" s="56" t="s">
        <v>665</v>
      </c>
      <c r="S14" s="56">
        <f>COUNTIF(Table2[payment_mode],"Card")</f>
        <v>164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577</v>
      </c>
      <c r="C15" s="30" t="s">
        <v>577</v>
      </c>
      <c r="D15" s="10" t="s">
        <v>14</v>
      </c>
      <c r="E15" s="10">
        <v>1377.47</v>
      </c>
      <c r="F15" s="5" t="str">
        <f>IF(Table2[[#This Row],[sales]]&gt;3000,"High Sales",IF(Table2[[#This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542</v>
      </c>
      <c r="P15" s="2" t="str">
        <f>IF(AND(Table2[[#This Row],[customer_type]]="MEMBER",OR(Table2[[#This Row],[payment_mode]]="UPI",Table2[[#This Row],[payment_mode]]="CARD")),"YES","NO")</f>
        <v>NO</v>
      </c>
      <c r="Q15" s="1"/>
      <c r="R15" s="33" t="s">
        <v>666</v>
      </c>
      <c r="S15" s="56">
        <f>COUNTIF(Table2[payment_mode],"Cash")</f>
        <v>185</v>
      </c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31" t="s">
        <v>24</v>
      </c>
      <c r="D16" s="15" t="s">
        <v>14</v>
      </c>
      <c r="E16" s="15">
        <v>4464.8900000000003</v>
      </c>
      <c r="F16" s="5" t="str">
        <f>IF(Table2[[#This Row],[sales]]&gt;3000,"High Sales",IF(Table2[[#This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2" t="str">
        <f>IF(AND(Table2[[#This Row],[customer_type]]="MEMBER",OR(Table2[[#This Row],[payment_mode]]="UPI",Table2[[#This Row],[payment_mode]]="CARD")),"YES","NO")</f>
        <v>NO</v>
      </c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30" t="s">
        <v>29</v>
      </c>
      <c r="D17" s="10" t="s">
        <v>37</v>
      </c>
      <c r="E17" s="10">
        <v>1593.67</v>
      </c>
      <c r="F17" s="5" t="str">
        <f>IF(Table2[[#This Row],[sales]]&gt;3000,"High Sales",IF(Table2[[#This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2" t="str">
        <f>IF(AND(Table2[[#This Row],[customer_type]]="MEMBER",OR(Table2[[#This Row],[payment_mode]]="UPI",Table2[[#This Row],[payment_mode]]="CARD")),"YES","NO")</f>
        <v>YES</v>
      </c>
      <c r="Q17" s="1"/>
      <c r="R17" s="56" t="s">
        <v>667</v>
      </c>
      <c r="S17" s="57">
        <v>115</v>
      </c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29" t="s">
        <v>13</v>
      </c>
      <c r="D18" s="15" t="s">
        <v>19</v>
      </c>
      <c r="E18" s="15">
        <v>3292.32</v>
      </c>
      <c r="F18" s="5" t="str">
        <f>IF(Table2[[#This Row],[sales]]&gt;3000,"High Sales",IF(Table2[[#This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2" t="str">
        <f>IF(AND(Table2[[#This Row],[customer_type]]="MEMBER",OR(Table2[[#This Row],[payment_mode]]="UPI",Table2[[#This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577</v>
      </c>
      <c r="C19" s="30" t="s">
        <v>577</v>
      </c>
      <c r="D19" s="10" t="s">
        <v>14</v>
      </c>
      <c r="E19" s="10">
        <v>3727.53</v>
      </c>
      <c r="F19" s="5" t="str">
        <f>IF(Table2[[#This Row],[sales]]&gt;3000,"High Sales",IF(Table2[[#This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2" t="str">
        <f>IF(AND(Table2[[#This Row],[customer_type]]="MEMBER",OR(Table2[[#This Row],[payment_mode]]="UPI",Table2[[#This Row],[payment_mode]]="CARD")),"YES","NO")</f>
        <v>NO</v>
      </c>
      <c r="Q19" s="1"/>
      <c r="R19" s="56" t="s">
        <v>668</v>
      </c>
      <c r="S19" s="56" cm="1">
        <f t="array" ref="S19">COUNTIFS(SALES,"&gt;4000",Region,"North")</f>
        <v>32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31" t="s">
        <v>24</v>
      </c>
      <c r="D20" s="15" t="s">
        <v>14</v>
      </c>
      <c r="E20" s="15">
        <v>3964.23</v>
      </c>
      <c r="F20" s="5" t="str">
        <f>IF(Table2[[#This Row],[sales]]&gt;3000,"High Sales",IF(Table2[[#This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2" t="str">
        <f>IF(AND(Table2[[#This Row],[customer_type]]="MEMBER",OR(Table2[[#This Row],[payment_mode]]="UPI",Table2[[#This Row],[payment_mode]]="CARD")),"YES","NO")</f>
        <v>YES</v>
      </c>
      <c r="Q20" s="1"/>
      <c r="R20" s="56" t="s">
        <v>668</v>
      </c>
      <c r="S20" s="56" cm="1">
        <f t="array" ref="S20">COUNTIFS(SALES,"&gt;4000",Region,"East")</f>
        <v>29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30" t="s">
        <v>29</v>
      </c>
      <c r="D21" s="10" t="s">
        <v>34</v>
      </c>
      <c r="E21" s="10">
        <v>4974.32</v>
      </c>
      <c r="F21" s="5" t="str">
        <f>IF(Table2[[#This Row],[sales]]&gt;3000,"High Sales",IF(Table2[[#This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2" t="str">
        <f>IF(AND(Table2[[#This Row],[customer_type]]="MEMBER",OR(Table2[[#This Row],[payment_mode]]="UPI",Table2[[#This Row],[payment_mode]]="CARD")),"YES","NO")</f>
        <v>NO</v>
      </c>
      <c r="Q21" s="1"/>
      <c r="R21" s="56" t="s">
        <v>668</v>
      </c>
      <c r="S21" s="56" cm="1">
        <f t="array" ref="S21">COUNTIFS(SALES,"&gt;4000",Region,"South")</f>
        <v>27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29" t="s">
        <v>13</v>
      </c>
      <c r="D22" s="15" t="s">
        <v>25</v>
      </c>
      <c r="E22" s="15">
        <v>4035.64</v>
      </c>
      <c r="F22" s="5" t="str">
        <f>IF(Table2[[#This Row],[sales]]&gt;3000,"High Sales",IF(Table2[[#This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2" t="str">
        <f>IF(AND(Table2[[#This Row],[customer_type]]="MEMBER",OR(Table2[[#This Row],[payment_mode]]="UPI",Table2[[#This Row],[payment_mode]]="CARD")),"YES","NO")</f>
        <v>NO</v>
      </c>
      <c r="Q22" s="1"/>
      <c r="R22" s="56" t="s">
        <v>668</v>
      </c>
      <c r="S22" s="56" cm="1">
        <f t="array" ref="S22">COUNTIFS(SALES,"&gt;4000",Region,"West")</f>
        <v>27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577</v>
      </c>
      <c r="C23" s="30" t="s">
        <v>577</v>
      </c>
      <c r="D23" s="10" t="s">
        <v>34</v>
      </c>
      <c r="E23" s="10">
        <v>3319.36</v>
      </c>
      <c r="F23" s="5" t="str">
        <f>IF(Table2[[#This Row],[sales]]&gt;3000,"High Sales",IF(Table2[[#This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2" t="str">
        <f>IF(AND(Table2[[#This Row],[customer_type]]="MEMBER",OR(Table2[[#This Row],[payment_mode]]="UPI",Table2[[#This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31" t="s">
        <v>24</v>
      </c>
      <c r="D24" s="15" t="s">
        <v>37</v>
      </c>
      <c r="E24" s="15">
        <v>4487.7700000000004</v>
      </c>
      <c r="F24" s="5" t="str">
        <f>IF(Table2[[#This Row],[sales]]&gt;3000,"High Sales",IF(Table2[[#This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2" t="str">
        <f>IF(AND(Table2[[#This Row],[customer_type]]="MEMBER",OR(Table2[[#This Row],[payment_mode]]="UPI",Table2[[#This Row],[payment_mode]]="CARD")),"YES","NO")</f>
        <v>NO</v>
      </c>
      <c r="Q24" s="1"/>
      <c r="R24" s="56" t="s">
        <v>669</v>
      </c>
      <c r="S24" s="56">
        <f>COUNTIFS(K:K,"Member",L:L,"UPI")+COUNTIFS(K:K,"Member",L:L,"Card")</f>
        <v>97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30" t="s">
        <v>29</v>
      </c>
      <c r="D25" s="10" t="s">
        <v>19</v>
      </c>
      <c r="E25" s="10">
        <v>4538.1499999999996</v>
      </c>
      <c r="F25" s="5" t="str">
        <f>IF(Table2[[#This Row],[sales]]&gt;3000,"High Sales",IF(Table2[[#This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2" t="str">
        <f>IF(AND(Table2[[#This Row],[customer_type]]="MEMBER",OR(Table2[[#This Row],[payment_mode]]="UPI",Table2[[#This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29" t="s">
        <v>13</v>
      </c>
      <c r="D26" s="15" t="s">
        <v>25</v>
      </c>
      <c r="E26" s="15">
        <v>4868.5200000000004</v>
      </c>
      <c r="F26" s="5" t="str">
        <f>IF(Table2[[#This Row],[sales]]&gt;3000,"High Sales",IF(Table2[[#This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2" t="str">
        <f>IF(AND(Table2[[#This Row],[customer_type]]="MEMBER",OR(Table2[[#This Row],[payment_mode]]="UPI",Table2[[#This Row],[payment_mode]]="CARD")),"YES","NO")</f>
        <v>NO</v>
      </c>
      <c r="Q26" s="1"/>
      <c r="R26" s="56" t="s">
        <v>670</v>
      </c>
      <c r="S26" s="56">
        <f>SUMIF(Table2[Updated_Region],"North",Table2[sales])</f>
        <v>334964.16000000003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577</v>
      </c>
      <c r="C27" s="30" t="s">
        <v>577</v>
      </c>
      <c r="D27" s="10" t="s">
        <v>34</v>
      </c>
      <c r="E27" s="10">
        <v>3904.68</v>
      </c>
      <c r="F27" s="5" t="str">
        <f>IF(Table2[[#This Row],[sales]]&gt;3000,"High Sales",IF(Table2[[#This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2" t="str">
        <f>IF(AND(Table2[[#This Row],[customer_type]]="MEMBER",OR(Table2[[#This Row],[payment_mode]]="UPI",Table2[[#This Row],[payment_mode]]="CARD")),"YES","NO")</f>
        <v>NO</v>
      </c>
      <c r="Q27" s="1"/>
      <c r="R27" s="56" t="s">
        <v>671</v>
      </c>
      <c r="S27" s="56">
        <f>SUMIF(Table2[Updated_Region],"South",Table2[sales])</f>
        <v>303623.68999999994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31" t="s">
        <v>24</v>
      </c>
      <c r="D28" s="15" t="s">
        <v>14</v>
      </c>
      <c r="E28" s="15">
        <v>1055.1400000000001</v>
      </c>
      <c r="F28" s="5" t="str">
        <f>IF(Table2[[#This Row],[sales]]&gt;3000,"High Sales",IF(Table2[[#This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2" t="str">
        <f>IF(AND(Table2[[#This Row],[customer_type]]="MEMBER",OR(Table2[[#This Row],[payment_mode]]="UPI",Table2[[#This Row],[payment_mode]]="CARD")),"YES","NO")</f>
        <v>YES</v>
      </c>
      <c r="Q28" s="1"/>
      <c r="R28" s="56" t="s">
        <v>672</v>
      </c>
      <c r="S28" s="56">
        <f>SUMIF(Table2[Updated_Region],"East",Table2[sales])</f>
        <v>337881.26999999996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30" t="s">
        <v>29</v>
      </c>
      <c r="D29" s="10" t="s">
        <v>14</v>
      </c>
      <c r="E29" s="10">
        <v>3578.05</v>
      </c>
      <c r="F29" s="5" t="str">
        <f>IF(Table2[[#This Row],[sales]]&gt;3000,"High Sales",IF(Table2[[#This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2" t="str">
        <f>IF(AND(Table2[[#This Row],[customer_type]]="MEMBER",OR(Table2[[#This Row],[payment_mode]]="UPI",Table2[[#This Row],[payment_mode]]="CARD")),"YES","NO")</f>
        <v>NO</v>
      </c>
      <c r="Q29" s="1"/>
      <c r="R29" s="56" t="s">
        <v>673</v>
      </c>
      <c r="S29" s="56">
        <f>SUMIF(Table2[Updated_Region],"West",Table2[sales])</f>
        <v>346200.06999999983</v>
      </c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29" t="s">
        <v>13</v>
      </c>
      <c r="D30" s="15" t="s">
        <v>25</v>
      </c>
      <c r="E30" s="15">
        <v>468.13</v>
      </c>
      <c r="F30" s="5" t="str">
        <f>IF(Table2[[#This Row],[sales]]&gt;3000,"High Sales",IF(Table2[[#This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2" t="str">
        <f>IF(AND(Table2[[#This Row],[customer_type]]="MEMBER",OR(Table2[[#This Row],[payment_mode]]="UPI",Table2[[#This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577</v>
      </c>
      <c r="C31" s="30" t="s">
        <v>577</v>
      </c>
      <c r="D31" s="10" t="s">
        <v>14</v>
      </c>
      <c r="E31" s="10">
        <v>1658.02</v>
      </c>
      <c r="F31" s="5" t="str">
        <f>IF(Table2[[#This Row],[sales]]&gt;3000,"High Sales",IF(Table2[[#This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2" t="str">
        <f>IF(AND(Table2[[#This Row],[customer_type]]="MEMBER",OR(Table2[[#This Row],[payment_mode]]="UPI",Table2[[#This Row],[payment_mode]]="CARD")),"YES","NO")</f>
        <v>NO</v>
      </c>
      <c r="Q31" s="1"/>
      <c r="R31" s="56" t="s">
        <v>674</v>
      </c>
      <c r="S31" s="56" cm="1">
        <f t="array" ref="S31">COUNTIF(Region,"North")</f>
        <v>124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31" t="s">
        <v>24</v>
      </c>
      <c r="D32" s="15" t="s">
        <v>34</v>
      </c>
      <c r="E32" s="15">
        <v>667.46</v>
      </c>
      <c r="F32" s="5" t="str">
        <f>IF(Table2[[#This Row],[sales]]&gt;3000,"High Sales",IF(Table2[[#This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2" t="str">
        <f>IF(AND(Table2[[#This Row],[customer_type]]="MEMBER",OR(Table2[[#This Row],[payment_mode]]="UPI",Table2[[#This Row],[payment_mode]]="CARD")),"YES","NO")</f>
        <v>NO</v>
      </c>
      <c r="Q32" s="1"/>
      <c r="R32" s="56" t="s">
        <v>675</v>
      </c>
      <c r="S32" s="56" cm="1">
        <f t="array" ref="S32">COUNTIF(Region,"south")</f>
        <v>124</v>
      </c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30" t="s">
        <v>29</v>
      </c>
      <c r="D33" s="10" t="s">
        <v>34</v>
      </c>
      <c r="E33" s="10">
        <v>4754.72</v>
      </c>
      <c r="F33" s="5" t="str">
        <f>IF(Table2[[#This Row],[sales]]&gt;3000,"High Sales",IF(Table2[[#This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2" t="str">
        <f>IF(AND(Table2[[#This Row],[customer_type]]="MEMBER",OR(Table2[[#This Row],[payment_mode]]="UPI",Table2[[#This Row],[payment_mode]]="CARD")),"YES","NO")</f>
        <v>NO</v>
      </c>
      <c r="Q33" s="1"/>
      <c r="R33" s="56" t="s">
        <v>676</v>
      </c>
      <c r="S33" s="56" cm="1">
        <f t="array" ref="S33">COUNTIF(Region,"East")</f>
        <v>125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29" t="s">
        <v>13</v>
      </c>
      <c r="D34" s="15" t="s">
        <v>14</v>
      </c>
      <c r="E34" s="15">
        <v>1759.9</v>
      </c>
      <c r="F34" s="5" t="str">
        <f>IF(Table2[[#This Row],[sales]]&gt;3000,"High Sales",IF(Table2[[#This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2" t="str">
        <f>IF(AND(Table2[[#This Row],[customer_type]]="MEMBER",OR(Table2[[#This Row],[payment_mode]]="UPI",Table2[[#This Row],[payment_mode]]="CARD")),"YES","NO")</f>
        <v>NO</v>
      </c>
      <c r="Q34" s="1"/>
      <c r="R34" s="56" t="s">
        <v>677</v>
      </c>
      <c r="S34" s="56" cm="1">
        <f t="array" ref="S34">COUNTIF(Region,"West")</f>
        <v>125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577</v>
      </c>
      <c r="C35" s="30" t="s">
        <v>577</v>
      </c>
      <c r="D35" s="10" t="s">
        <v>14</v>
      </c>
      <c r="E35" s="10">
        <v>3594.76</v>
      </c>
      <c r="F35" s="5" t="str">
        <f>IF(Table2[[#This Row],[sales]]&gt;3000,"High Sales",IF(Table2[[#This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2" t="str">
        <f>IF(AND(Table2[[#This Row],[customer_type]]="MEMBER",OR(Table2[[#This Row],[payment_mode]]="UPI",Table2[[#This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31" t="s">
        <v>24</v>
      </c>
      <c r="D36" s="15" t="s">
        <v>37</v>
      </c>
      <c r="E36" s="15">
        <v>2899.46</v>
      </c>
      <c r="F36" s="5" t="str">
        <f>IF(Table2[[#This Row],[sales]]&gt;3000,"High Sales",IF(Table2[[#This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2" t="str">
        <f>IF(AND(Table2[[#This Row],[customer_type]]="MEMBER",OR(Table2[[#This Row],[payment_mode]]="UPI",Table2[[#This Row],[payment_mode]]="CARD")),"YES","NO")</f>
        <v>NO</v>
      </c>
      <c r="Q36" s="1"/>
      <c r="R36" s="56" t="s">
        <v>678</v>
      </c>
      <c r="S36" s="56">
        <f>SUMIF(Table2[order_date],"&gt;2024-07-01",Table2[sales])</f>
        <v>368049.34999999992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30" t="s">
        <v>29</v>
      </c>
      <c r="D37" s="10" t="s">
        <v>19</v>
      </c>
      <c r="E37" s="10">
        <v>626.80999999999995</v>
      </c>
      <c r="F37" s="5" t="str">
        <f>IF(Table2[[#This Row],[sales]]&gt;3000,"High Sales",IF(Table2[[#This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2" t="str">
        <f>IF(AND(Table2[[#This Row],[customer_type]]="MEMBER",OR(Table2[[#This Row],[payment_mode]]="UPI",Table2[[#This Row],[payment_mode]]="CARD")),"YES","NO")</f>
        <v>NO</v>
      </c>
      <c r="Q37" s="1"/>
      <c r="R37" s="56" t="s">
        <v>679</v>
      </c>
      <c r="S37" s="56">
        <f>SUMIF(Table2[order_date],"&lt;2024-01-01",Table2[sales])</f>
        <v>654586.69000000018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29" t="s">
        <v>13</v>
      </c>
      <c r="D38" s="15" t="s">
        <v>25</v>
      </c>
      <c r="E38" s="15">
        <v>2850.59</v>
      </c>
      <c r="F38" s="5" t="str">
        <f>IF(Table2[[#This Row],[sales]]&gt;3000,"High Sales",IF(Table2[[#This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2" t="str">
        <f>IF(AND(Table2[[#This Row],[customer_type]]="MEMBER",OR(Table2[[#This Row],[payment_mode]]="UPI",Table2[[#This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577</v>
      </c>
      <c r="C39" s="30" t="s">
        <v>577</v>
      </c>
      <c r="D39" s="10" t="s">
        <v>34</v>
      </c>
      <c r="E39" s="10">
        <v>3339.02</v>
      </c>
      <c r="F39" s="5" t="str">
        <f>IF(Table2[[#This Row],[sales]]&gt;3000,"High Sales",IF(Table2[[#This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2" t="str">
        <f>IF(AND(Table2[[#This Row],[customer_type]]="MEMBER",OR(Table2[[#This Row],[payment_mode]]="UPI",Table2[[#This Row],[payment_mode]]="CARD")),"YES","NO")</f>
        <v>NO</v>
      </c>
      <c r="Q39" s="1"/>
      <c r="R39" s="56" t="s">
        <v>680</v>
      </c>
      <c r="S39" s="56" cm="1">
        <f t="array" ref="S39">SUMIFS(SALES,Table2[order_date],"&gt;=2024-07-01",Table2[order_date],"&lt;=2024-12-31")</f>
        <v>368049.34999999992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31" t="s">
        <v>24</v>
      </c>
      <c r="D40" s="15" t="s">
        <v>25</v>
      </c>
      <c r="E40" s="15">
        <v>4419.43</v>
      </c>
      <c r="F40" s="5" t="str">
        <f>IF(Table2[[#This Row],[sales]]&gt;3000,"High Sales",IF(Table2[[#This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2" t="str">
        <f>IF(AND(Table2[[#This Row],[customer_type]]="MEMBER",OR(Table2[[#This Row],[payment_mode]]="UPI",Table2[[#This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30" t="s">
        <v>29</v>
      </c>
      <c r="D41" s="10" t="s">
        <v>37</v>
      </c>
      <c r="E41" s="10">
        <v>443.42</v>
      </c>
      <c r="F41" s="5" t="str">
        <f>IF(Table2[[#This Row],[sales]]&gt;3000,"High Sales",IF(Table2[[#This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2" t="str">
        <f>IF(AND(Table2[[#This Row],[customer_type]]="MEMBER",OR(Table2[[#This Row],[payment_mode]]="UPI",Table2[[#This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29" t="s">
        <v>13</v>
      </c>
      <c r="D42" s="15" t="s">
        <v>34</v>
      </c>
      <c r="E42" s="15">
        <v>1548.61</v>
      </c>
      <c r="F42" s="5" t="str">
        <f>IF(Table2[[#This Row],[sales]]&gt;3000,"High Sales",IF(Table2[[#This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2" t="str">
        <f>IF(AND(Table2[[#This Row],[customer_type]]="MEMBER",OR(Table2[[#This Row],[payment_mode]]="UPI",Table2[[#This Row],[payment_mode]]="CARD")),"YES","NO")</f>
        <v>NO</v>
      </c>
      <c r="Q42" s="1"/>
      <c r="R42" s="56" t="s">
        <v>688</v>
      </c>
      <c r="S42" s="56">
        <f>SUM(SALES)</f>
        <v>1322669.1900000023</v>
      </c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577</v>
      </c>
      <c r="C43" s="30" t="s">
        <v>577</v>
      </c>
      <c r="D43" s="10" t="s">
        <v>37</v>
      </c>
      <c r="E43" s="10">
        <v>3492.47</v>
      </c>
      <c r="F43" s="5" t="str">
        <f>IF(Table2[[#This Row],[sales]]&gt;3000,"High Sales",IF(Table2[[#This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2" t="str">
        <f>IF(AND(Table2[[#This Row],[customer_type]]="MEMBER",OR(Table2[[#This Row],[payment_mode]]="UPI",Table2[[#This Row],[payment_mode]]="CARD")),"YES","NO")</f>
        <v>YES</v>
      </c>
      <c r="Q43" s="1"/>
      <c r="R43" s="56" t="s">
        <v>689</v>
      </c>
      <c r="S43" s="56" cm="1">
        <f t="array" ref="S43">SUBTOTAL(9,SALES)</f>
        <v>1322669.1900000023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31" t="s">
        <v>24</v>
      </c>
      <c r="D44" s="15" t="s">
        <v>37</v>
      </c>
      <c r="E44" s="15">
        <v>268.23</v>
      </c>
      <c r="F44" s="5" t="str">
        <f>IF(Table2[[#This Row],[sales]]&gt;3000,"High Sales",IF(Table2[[#This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2" t="str">
        <f>IF(AND(Table2[[#This Row],[customer_type]]="MEMBER",OR(Table2[[#This Row],[payment_mode]]="UPI",Table2[[#This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30" t="s">
        <v>29</v>
      </c>
      <c r="D45" s="10" t="s">
        <v>14</v>
      </c>
      <c r="E45" s="10">
        <v>1097.4100000000001</v>
      </c>
      <c r="F45" s="5" t="str">
        <f>IF(Table2[[#This Row],[sales]]&gt;3000,"High Sales",IF(Table2[[#This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2" t="str">
        <f>IF(AND(Table2[[#This Row],[customer_type]]="MEMBER",OR(Table2[[#This Row],[payment_mode]]="UPI",Table2[[#This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29" t="s">
        <v>13</v>
      </c>
      <c r="D46" s="15" t="s">
        <v>25</v>
      </c>
      <c r="E46" s="15">
        <v>1171.48</v>
      </c>
      <c r="F46" s="5" t="str">
        <f>IF(Table2[[#This Row],[sales]]&gt;3000,"High Sales",IF(Table2[[#This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2" t="str">
        <f>IF(AND(Table2[[#This Row],[customer_type]]="MEMBER",OR(Table2[[#This Row],[payment_mode]]="UPI",Table2[[#This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577</v>
      </c>
      <c r="C47" s="30" t="s">
        <v>577</v>
      </c>
      <c r="D47" s="10" t="s">
        <v>25</v>
      </c>
      <c r="E47" s="10">
        <v>3379.7</v>
      </c>
      <c r="F47" s="5" t="str">
        <f>IF(Table2[[#This Row],[sales]]&gt;3000,"High Sales",IF(Table2[[#This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2" t="str">
        <f>IF(AND(Table2[[#This Row],[customer_type]]="MEMBER",OR(Table2[[#This Row],[payment_mode]]="UPI",Table2[[#This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31" t="s">
        <v>24</v>
      </c>
      <c r="D48" s="15" t="s">
        <v>14</v>
      </c>
      <c r="E48" s="15">
        <v>1501.21</v>
      </c>
      <c r="F48" s="5" t="str">
        <f>IF(Table2[[#This Row],[sales]]&gt;3000,"High Sales",IF(Table2[[#This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2" t="str">
        <f>IF(AND(Table2[[#This Row],[customer_type]]="MEMBER",OR(Table2[[#This Row],[payment_mode]]="UPI",Table2[[#This Row],[payment_mode]]="CARD")),"YES","NO")</f>
        <v>YES</v>
      </c>
      <c r="Q48" s="1"/>
      <c r="R48" s="1"/>
      <c r="S48" s="1" t="s">
        <v>690</v>
      </c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30" t="s">
        <v>29</v>
      </c>
      <c r="D49" s="10" t="s">
        <v>25</v>
      </c>
      <c r="E49" s="10">
        <v>3038.02</v>
      </c>
      <c r="F49" s="5" t="str">
        <f>IF(Table2[[#This Row],[sales]]&gt;3000,"High Sales",IF(Table2[[#This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2" t="str">
        <f>IF(AND(Table2[[#This Row],[customer_type]]="MEMBER",OR(Table2[[#This Row],[payment_mode]]="UPI",Table2[[#This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29" t="s">
        <v>13</v>
      </c>
      <c r="D50" s="15" t="s">
        <v>14</v>
      </c>
      <c r="E50" s="15">
        <v>4830.21</v>
      </c>
      <c r="F50" s="5" t="str">
        <f>IF(Table2[[#This Row],[sales]]&gt;3000,"High Sales",IF(Table2[[#This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2" t="str">
        <f>IF(AND(Table2[[#This Row],[customer_type]]="MEMBER",OR(Table2[[#This Row],[payment_mode]]="UPI",Table2[[#This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577</v>
      </c>
      <c r="C51" s="30" t="s">
        <v>577</v>
      </c>
      <c r="D51" s="10" t="s">
        <v>34</v>
      </c>
      <c r="E51" s="10">
        <v>3986.89</v>
      </c>
      <c r="F51" s="5" t="str">
        <f>IF(Table2[[#This Row],[sales]]&gt;3000,"High Sales",IF(Table2[[#This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2" t="str">
        <f>IF(AND(Table2[[#This Row],[customer_type]]="MEMBER",OR(Table2[[#This Row],[payment_mode]]="UPI",Table2[[#This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31" t="s">
        <v>24</v>
      </c>
      <c r="D52" s="15" t="s">
        <v>37</v>
      </c>
      <c r="E52" s="15">
        <v>1731.22</v>
      </c>
      <c r="F52" s="5" t="str">
        <f>IF(Table2[[#This Row],[sales]]&gt;3000,"High Sales",IF(Table2[[#This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2" t="str">
        <f>IF(AND(Table2[[#This Row],[customer_type]]="MEMBER",OR(Table2[[#This Row],[payment_mode]]="UPI",Table2[[#This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30" t="s">
        <v>29</v>
      </c>
      <c r="D53" s="10" t="s">
        <v>37</v>
      </c>
      <c r="E53" s="10">
        <v>2414.7600000000002</v>
      </c>
      <c r="F53" s="5" t="str">
        <f>IF(Table2[[#This Row],[sales]]&gt;3000,"High Sales",IF(Table2[[#This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2" t="str">
        <f>IF(AND(Table2[[#This Row],[customer_type]]="MEMBER",OR(Table2[[#This Row],[payment_mode]]="UPI",Table2[[#This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29" t="s">
        <v>13</v>
      </c>
      <c r="D54" s="15" t="s">
        <v>25</v>
      </c>
      <c r="E54" s="15">
        <v>1083.3</v>
      </c>
      <c r="F54" s="5" t="str">
        <f>IF(Table2[[#This Row],[sales]]&gt;3000,"High Sales",IF(Table2[[#This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2" t="str">
        <f>IF(AND(Table2[[#This Row],[customer_type]]="MEMBER",OR(Table2[[#This Row],[payment_mode]]="UPI",Table2[[#This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577</v>
      </c>
      <c r="C55" s="30" t="s">
        <v>577</v>
      </c>
      <c r="D55" s="10" t="s">
        <v>19</v>
      </c>
      <c r="E55" s="10">
        <v>177.03</v>
      </c>
      <c r="F55" s="5" t="str">
        <f>IF(Table2[[#This Row],[sales]]&gt;3000,"High Sales",IF(Table2[[#This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2" t="str">
        <f>IF(AND(Table2[[#This Row],[customer_type]]="MEMBER",OR(Table2[[#This Row],[payment_mode]]="UPI",Table2[[#This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31" t="s">
        <v>24</v>
      </c>
      <c r="D56" s="15" t="s">
        <v>37</v>
      </c>
      <c r="E56" s="15">
        <v>1519.61</v>
      </c>
      <c r="F56" s="5" t="str">
        <f>IF(Table2[[#This Row],[sales]]&gt;3000,"High Sales",IF(Table2[[#This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2" t="str">
        <f>IF(AND(Table2[[#This Row],[customer_type]]="MEMBER",OR(Table2[[#This Row],[payment_mode]]="UPI",Table2[[#This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30" t="s">
        <v>29</v>
      </c>
      <c r="D57" s="10" t="s">
        <v>14</v>
      </c>
      <c r="E57" s="10">
        <v>1910.1</v>
      </c>
      <c r="F57" s="5" t="str">
        <f>IF(Table2[[#This Row],[sales]]&gt;3000,"High Sales",IF(Table2[[#This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2" t="str">
        <f>IF(AND(Table2[[#This Row],[customer_type]]="MEMBER",OR(Table2[[#This Row],[payment_mode]]="UPI",Table2[[#This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29" t="s">
        <v>13</v>
      </c>
      <c r="D58" s="15" t="s">
        <v>19</v>
      </c>
      <c r="E58" s="15">
        <v>2865.4</v>
      </c>
      <c r="F58" s="5" t="str">
        <f>IF(Table2[[#This Row],[sales]]&gt;3000,"High Sales",IF(Table2[[#This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2" t="str">
        <f>IF(AND(Table2[[#This Row],[customer_type]]="MEMBER",OR(Table2[[#This Row],[payment_mode]]="UPI",Table2[[#This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577</v>
      </c>
      <c r="C59" s="30" t="s">
        <v>577</v>
      </c>
      <c r="D59" s="10" t="s">
        <v>19</v>
      </c>
      <c r="E59" s="10">
        <v>4725.93</v>
      </c>
      <c r="F59" s="5" t="str">
        <f>IF(Table2[[#This Row],[sales]]&gt;3000,"High Sales",IF(Table2[[#This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2" t="str">
        <f>IF(AND(Table2[[#This Row],[customer_type]]="MEMBER",OR(Table2[[#This Row],[payment_mode]]="UPI",Table2[[#This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31" t="s">
        <v>24</v>
      </c>
      <c r="D60" s="15" t="s">
        <v>37</v>
      </c>
      <c r="E60" s="15">
        <v>4744.4799999999996</v>
      </c>
      <c r="F60" s="5" t="str">
        <f>IF(Table2[[#This Row],[sales]]&gt;3000,"High Sales",IF(Table2[[#This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2" t="str">
        <f>IF(AND(Table2[[#This Row],[customer_type]]="MEMBER",OR(Table2[[#This Row],[payment_mode]]="UPI",Table2[[#This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30" t="s">
        <v>29</v>
      </c>
      <c r="D61" s="10" t="s">
        <v>37</v>
      </c>
      <c r="E61" s="10">
        <v>443.48</v>
      </c>
      <c r="F61" s="5" t="str">
        <f>IF(Table2[[#This Row],[sales]]&gt;3000,"High Sales",IF(Table2[[#This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2" t="str">
        <f>IF(AND(Table2[[#This Row],[customer_type]]="MEMBER",OR(Table2[[#This Row],[payment_mode]]="UPI",Table2[[#This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29" t="s">
        <v>13</v>
      </c>
      <c r="D62" s="15" t="s">
        <v>37</v>
      </c>
      <c r="E62" s="15">
        <v>3111.76</v>
      </c>
      <c r="F62" s="5" t="str">
        <f>IF(Table2[[#This Row],[sales]]&gt;3000,"High Sales",IF(Table2[[#This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2" t="str">
        <f>IF(AND(Table2[[#This Row],[customer_type]]="MEMBER",OR(Table2[[#This Row],[payment_mode]]="UPI",Table2[[#This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577</v>
      </c>
      <c r="C63" s="30" t="s">
        <v>577</v>
      </c>
      <c r="D63" s="10" t="s">
        <v>14</v>
      </c>
      <c r="E63" s="10">
        <v>307.52999999999997</v>
      </c>
      <c r="F63" s="5" t="str">
        <f>IF(Table2[[#This Row],[sales]]&gt;3000,"High Sales",IF(Table2[[#This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2" t="str">
        <f>IF(AND(Table2[[#This Row],[customer_type]]="MEMBER",OR(Table2[[#This Row],[payment_mode]]="UPI",Table2[[#This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31" t="s">
        <v>24</v>
      </c>
      <c r="D64" s="15" t="s">
        <v>19</v>
      </c>
      <c r="E64" s="15">
        <v>3275.6</v>
      </c>
      <c r="F64" s="5" t="str">
        <f>IF(Table2[[#This Row],[sales]]&gt;3000,"High Sales",IF(Table2[[#This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2" t="str">
        <f>IF(AND(Table2[[#This Row],[customer_type]]="MEMBER",OR(Table2[[#This Row],[payment_mode]]="UPI",Table2[[#This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30" t="s">
        <v>29</v>
      </c>
      <c r="D65" s="10" t="s">
        <v>25</v>
      </c>
      <c r="E65" s="10">
        <v>676.75</v>
      </c>
      <c r="F65" s="5" t="str">
        <f>IF(Table2[[#This Row],[sales]]&gt;3000,"High Sales",IF(Table2[[#This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2" t="str">
        <f>IF(AND(Table2[[#This Row],[customer_type]]="MEMBER",OR(Table2[[#This Row],[payment_mode]]="UPI",Table2[[#This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29" t="s">
        <v>13</v>
      </c>
      <c r="D66" s="15" t="s">
        <v>14</v>
      </c>
      <c r="E66" s="15">
        <v>4737.37</v>
      </c>
      <c r="F66" s="5" t="str">
        <f>IF(Table2[[#This Row],[sales]]&gt;3000,"High Sales",IF(Table2[[#This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2" t="str">
        <f>IF(AND(Table2[[#This Row],[customer_type]]="MEMBER",OR(Table2[[#This Row],[payment_mode]]="UPI",Table2[[#This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577</v>
      </c>
      <c r="C67" s="30" t="s">
        <v>577</v>
      </c>
      <c r="D67" s="10" t="s">
        <v>34</v>
      </c>
      <c r="E67" s="10">
        <v>4335.26</v>
      </c>
      <c r="F67" s="5" t="str">
        <f>IF(Table2[[#This Row],[sales]]&gt;3000,"High Sales",IF(Table2[[#This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2" t="str">
        <f>IF(AND(Table2[[#This Row],[customer_type]]="MEMBER",OR(Table2[[#This Row],[payment_mode]]="UPI",Table2[[#This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31" t="s">
        <v>24</v>
      </c>
      <c r="D68" s="15" t="s">
        <v>37</v>
      </c>
      <c r="E68" s="15">
        <v>209.41</v>
      </c>
      <c r="F68" s="5" t="str">
        <f>IF(Table2[[#This Row],[sales]]&gt;3000,"High Sales",IF(Table2[[#This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2" t="str">
        <f>IF(AND(Table2[[#This Row],[customer_type]]="MEMBER",OR(Table2[[#This Row],[payment_mode]]="UPI",Table2[[#This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30" t="s">
        <v>29</v>
      </c>
      <c r="D69" s="10" t="s">
        <v>19</v>
      </c>
      <c r="E69" s="10">
        <v>3932.45</v>
      </c>
      <c r="F69" s="5" t="str">
        <f>IF(Table2[[#This Row],[sales]]&gt;3000,"High Sales",IF(Table2[[#This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2" t="str">
        <f>IF(AND(Table2[[#This Row],[customer_type]]="MEMBER",OR(Table2[[#This Row],[payment_mode]]="UPI",Table2[[#This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29" t="s">
        <v>13</v>
      </c>
      <c r="D70" s="15" t="s">
        <v>14</v>
      </c>
      <c r="E70" s="15">
        <v>3215.9</v>
      </c>
      <c r="F70" s="5" t="str">
        <f>IF(Table2[[#This Row],[sales]]&gt;3000,"High Sales",IF(Table2[[#This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2" t="str">
        <f>IF(AND(Table2[[#This Row],[customer_type]]="MEMBER",OR(Table2[[#This Row],[payment_mode]]="UPI",Table2[[#This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577</v>
      </c>
      <c r="C71" s="30" t="s">
        <v>577</v>
      </c>
      <c r="D71" s="10" t="s">
        <v>34</v>
      </c>
      <c r="E71" s="10">
        <v>2527.31</v>
      </c>
      <c r="F71" s="5" t="str">
        <f>IF(Table2[[#This Row],[sales]]&gt;3000,"High Sales",IF(Table2[[#This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2" t="str">
        <f>IF(AND(Table2[[#This Row],[customer_type]]="MEMBER",OR(Table2[[#This Row],[payment_mode]]="UPI",Table2[[#This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31" t="s">
        <v>24</v>
      </c>
      <c r="D72" s="15" t="s">
        <v>14</v>
      </c>
      <c r="E72" s="15">
        <v>3052.91</v>
      </c>
      <c r="F72" s="5" t="str">
        <f>IF(Table2[[#This Row],[sales]]&gt;3000,"High Sales",IF(Table2[[#This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2" t="str">
        <f>IF(AND(Table2[[#This Row],[customer_type]]="MEMBER",OR(Table2[[#This Row],[payment_mode]]="UPI",Table2[[#This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30" t="s">
        <v>29</v>
      </c>
      <c r="D73" s="10" t="s">
        <v>14</v>
      </c>
      <c r="E73" s="10">
        <v>3423.43</v>
      </c>
      <c r="F73" s="5" t="str">
        <f>IF(Table2[[#This Row],[sales]]&gt;3000,"High Sales",IF(Table2[[#This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2" t="str">
        <f>IF(AND(Table2[[#This Row],[customer_type]]="MEMBER",OR(Table2[[#This Row],[payment_mode]]="UPI",Table2[[#This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29" t="s">
        <v>13</v>
      </c>
      <c r="D74" s="15" t="s">
        <v>25</v>
      </c>
      <c r="E74" s="15">
        <v>4433.84</v>
      </c>
      <c r="F74" s="5" t="str">
        <f>IF(Table2[[#This Row],[sales]]&gt;3000,"High Sales",IF(Table2[[#This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2" t="str">
        <f>IF(AND(Table2[[#This Row],[customer_type]]="MEMBER",OR(Table2[[#This Row],[payment_mode]]="UPI",Table2[[#This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577</v>
      </c>
      <c r="C75" s="30" t="s">
        <v>577</v>
      </c>
      <c r="D75" s="10" t="s">
        <v>25</v>
      </c>
      <c r="E75" s="10">
        <v>3860.05</v>
      </c>
      <c r="F75" s="5" t="str">
        <f>IF(Table2[[#This Row],[sales]]&gt;3000,"High Sales",IF(Table2[[#This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2" t="str">
        <f>IF(AND(Table2[[#This Row],[customer_type]]="MEMBER",OR(Table2[[#This Row],[payment_mode]]="UPI",Table2[[#This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31" t="s">
        <v>24</v>
      </c>
      <c r="D76" s="15" t="s">
        <v>14</v>
      </c>
      <c r="E76" s="15">
        <v>2919.35</v>
      </c>
      <c r="F76" s="5" t="str">
        <f>IF(Table2[[#This Row],[sales]]&gt;3000,"High Sales",IF(Table2[[#This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2" t="str">
        <f>IF(AND(Table2[[#This Row],[customer_type]]="MEMBER",OR(Table2[[#This Row],[payment_mode]]="UPI",Table2[[#This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30" t="s">
        <v>29</v>
      </c>
      <c r="D77" s="10" t="s">
        <v>34</v>
      </c>
      <c r="E77" s="10">
        <v>4140.62</v>
      </c>
      <c r="F77" s="5" t="str">
        <f>IF(Table2[[#This Row],[sales]]&gt;3000,"High Sales",IF(Table2[[#This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2" t="str">
        <f>IF(AND(Table2[[#This Row],[customer_type]]="MEMBER",OR(Table2[[#This Row],[payment_mode]]="UPI",Table2[[#This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29" t="s">
        <v>13</v>
      </c>
      <c r="D78" s="15" t="s">
        <v>19</v>
      </c>
      <c r="E78" s="15">
        <v>4935.92</v>
      </c>
      <c r="F78" s="5" t="str">
        <f>IF(Table2[[#This Row],[sales]]&gt;3000,"High Sales",IF(Table2[[#This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2" t="str">
        <f>IF(AND(Table2[[#This Row],[customer_type]]="MEMBER",OR(Table2[[#This Row],[payment_mode]]="UPI",Table2[[#This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577</v>
      </c>
      <c r="C79" s="30" t="s">
        <v>577</v>
      </c>
      <c r="D79" s="10" t="s">
        <v>19</v>
      </c>
      <c r="E79" s="10">
        <v>1570.89</v>
      </c>
      <c r="F79" s="5" t="str">
        <f>IF(Table2[[#This Row],[sales]]&gt;3000,"High Sales",IF(Table2[[#This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2" t="str">
        <f>IF(AND(Table2[[#This Row],[customer_type]]="MEMBER",OR(Table2[[#This Row],[payment_mode]]="UPI",Table2[[#This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31" t="s">
        <v>24</v>
      </c>
      <c r="D80" s="15" t="s">
        <v>37</v>
      </c>
      <c r="E80" s="15">
        <v>680.26</v>
      </c>
      <c r="F80" s="5" t="str">
        <f>IF(Table2[[#This Row],[sales]]&gt;3000,"High Sales",IF(Table2[[#This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2" t="str">
        <f>IF(AND(Table2[[#This Row],[customer_type]]="MEMBER",OR(Table2[[#This Row],[payment_mode]]="UPI",Table2[[#This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30" t="s">
        <v>29</v>
      </c>
      <c r="D81" s="10" t="s">
        <v>37</v>
      </c>
      <c r="E81" s="10">
        <v>3684.1</v>
      </c>
      <c r="F81" s="5" t="str">
        <f>IF(Table2[[#This Row],[sales]]&gt;3000,"High Sales",IF(Table2[[#This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2" t="str">
        <f>IF(AND(Table2[[#This Row],[customer_type]]="MEMBER",OR(Table2[[#This Row],[payment_mode]]="UPI",Table2[[#This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29" t="s">
        <v>13</v>
      </c>
      <c r="D82" s="15" t="s">
        <v>19</v>
      </c>
      <c r="E82" s="15">
        <v>4895.12</v>
      </c>
      <c r="F82" s="5" t="str">
        <f>IF(Table2[[#This Row],[sales]]&gt;3000,"High Sales",IF(Table2[[#This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2" t="str">
        <f>IF(AND(Table2[[#This Row],[customer_type]]="MEMBER",OR(Table2[[#This Row],[payment_mode]]="UPI",Table2[[#This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577</v>
      </c>
      <c r="C83" s="30" t="s">
        <v>577</v>
      </c>
      <c r="D83" s="10" t="s">
        <v>14</v>
      </c>
      <c r="E83" s="10">
        <v>671.86</v>
      </c>
      <c r="F83" s="5" t="str">
        <f>IF(Table2[[#This Row],[sales]]&gt;3000,"High Sales",IF(Table2[[#This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2" t="str">
        <f>IF(AND(Table2[[#This Row],[customer_type]]="MEMBER",OR(Table2[[#This Row],[payment_mode]]="UPI",Table2[[#This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31" t="s">
        <v>24</v>
      </c>
      <c r="D84" s="15" t="s">
        <v>14</v>
      </c>
      <c r="E84" s="15">
        <v>2215.37</v>
      </c>
      <c r="F84" s="5" t="str">
        <f>IF(Table2[[#This Row],[sales]]&gt;3000,"High Sales",IF(Table2[[#This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2" t="str">
        <f>IF(AND(Table2[[#This Row],[customer_type]]="MEMBER",OR(Table2[[#This Row],[payment_mode]]="UPI",Table2[[#This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30" t="s">
        <v>29</v>
      </c>
      <c r="D85" s="10" t="s">
        <v>25</v>
      </c>
      <c r="E85" s="10">
        <v>405.11</v>
      </c>
      <c r="F85" s="5" t="str">
        <f>IF(Table2[[#This Row],[sales]]&gt;3000,"High Sales",IF(Table2[[#This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2" t="str">
        <f>IF(AND(Table2[[#This Row],[customer_type]]="MEMBER",OR(Table2[[#This Row],[payment_mode]]="UPI",Table2[[#This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29" t="s">
        <v>13</v>
      </c>
      <c r="D86" s="15" t="s">
        <v>25</v>
      </c>
      <c r="E86" s="15">
        <v>3905.01</v>
      </c>
      <c r="F86" s="5" t="str">
        <f>IF(Table2[[#This Row],[sales]]&gt;3000,"High Sales",IF(Table2[[#This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2" t="str">
        <f>IF(AND(Table2[[#This Row],[customer_type]]="MEMBER",OR(Table2[[#This Row],[payment_mode]]="UPI",Table2[[#This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577</v>
      </c>
      <c r="C87" s="30" t="s">
        <v>577</v>
      </c>
      <c r="D87" s="10" t="s">
        <v>37</v>
      </c>
      <c r="E87" s="10">
        <v>4748.67</v>
      </c>
      <c r="F87" s="5" t="str">
        <f>IF(Table2[[#This Row],[sales]]&gt;3000,"High Sales",IF(Table2[[#This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2" t="str">
        <f>IF(AND(Table2[[#This Row],[customer_type]]="MEMBER",OR(Table2[[#This Row],[payment_mode]]="UPI",Table2[[#This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31" t="s">
        <v>24</v>
      </c>
      <c r="D88" s="15" t="s">
        <v>19</v>
      </c>
      <c r="E88" s="15">
        <v>2545.0700000000002</v>
      </c>
      <c r="F88" s="5" t="str">
        <f>IF(Table2[[#This Row],[sales]]&gt;3000,"High Sales",IF(Table2[[#This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2" t="str">
        <f>IF(AND(Table2[[#This Row],[customer_type]]="MEMBER",OR(Table2[[#This Row],[payment_mode]]="UPI",Table2[[#This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30" t="s">
        <v>29</v>
      </c>
      <c r="D89" s="10" t="s">
        <v>14</v>
      </c>
      <c r="E89" s="10">
        <v>2106.65</v>
      </c>
      <c r="F89" s="5" t="str">
        <f>IF(Table2[[#This Row],[sales]]&gt;3000,"High Sales",IF(Table2[[#This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2" t="str">
        <f>IF(AND(Table2[[#This Row],[customer_type]]="MEMBER",OR(Table2[[#This Row],[payment_mode]]="UPI",Table2[[#This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29" t="s">
        <v>13</v>
      </c>
      <c r="D90" s="15" t="s">
        <v>19</v>
      </c>
      <c r="E90" s="15">
        <v>4547.82</v>
      </c>
      <c r="F90" s="5" t="str">
        <f>IF(Table2[[#This Row],[sales]]&gt;3000,"High Sales",IF(Table2[[#This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2" t="str">
        <f>IF(AND(Table2[[#This Row],[customer_type]]="MEMBER",OR(Table2[[#This Row],[payment_mode]]="UPI",Table2[[#This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577</v>
      </c>
      <c r="C91" s="30" t="s">
        <v>577</v>
      </c>
      <c r="D91" s="10" t="s">
        <v>34</v>
      </c>
      <c r="E91" s="10">
        <v>753.6</v>
      </c>
      <c r="F91" s="5" t="str">
        <f>IF(Table2[[#This Row],[sales]]&gt;3000,"High Sales",IF(Table2[[#This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2" t="str">
        <f>IF(AND(Table2[[#This Row],[customer_type]]="MEMBER",OR(Table2[[#This Row],[payment_mode]]="UPI",Table2[[#This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31" t="s">
        <v>24</v>
      </c>
      <c r="D92" s="15" t="s">
        <v>19</v>
      </c>
      <c r="E92" s="15">
        <v>4468.76</v>
      </c>
      <c r="F92" s="5" t="str">
        <f>IF(Table2[[#This Row],[sales]]&gt;3000,"High Sales",IF(Table2[[#This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2" t="str">
        <f>IF(AND(Table2[[#This Row],[customer_type]]="MEMBER",OR(Table2[[#This Row],[payment_mode]]="UPI",Table2[[#This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30" t="s">
        <v>29</v>
      </c>
      <c r="D93" s="10" t="s">
        <v>34</v>
      </c>
      <c r="E93" s="10">
        <v>2021.42</v>
      </c>
      <c r="F93" s="5" t="str">
        <f>IF(Table2[[#This Row],[sales]]&gt;3000,"High Sales",IF(Table2[[#This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2" t="str">
        <f>IF(AND(Table2[[#This Row],[customer_type]]="MEMBER",OR(Table2[[#This Row],[payment_mode]]="UPI",Table2[[#This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29" t="s">
        <v>13</v>
      </c>
      <c r="D94" s="15" t="s">
        <v>25</v>
      </c>
      <c r="E94" s="15">
        <v>2841.09</v>
      </c>
      <c r="F94" s="5" t="str">
        <f>IF(Table2[[#This Row],[sales]]&gt;3000,"High Sales",IF(Table2[[#This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2" t="str">
        <f>IF(AND(Table2[[#This Row],[customer_type]]="MEMBER",OR(Table2[[#This Row],[payment_mode]]="UPI",Table2[[#This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577</v>
      </c>
      <c r="C95" s="30" t="s">
        <v>577</v>
      </c>
      <c r="D95" s="10" t="s">
        <v>25</v>
      </c>
      <c r="E95" s="10">
        <v>2688.63</v>
      </c>
      <c r="F95" s="5" t="str">
        <f>IF(Table2[[#This Row],[sales]]&gt;3000,"High Sales",IF(Table2[[#This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2" t="str">
        <f>IF(AND(Table2[[#This Row],[customer_type]]="MEMBER",OR(Table2[[#This Row],[payment_mode]]="UPI",Table2[[#This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31" t="s">
        <v>24</v>
      </c>
      <c r="D96" s="15" t="s">
        <v>37</v>
      </c>
      <c r="E96" s="15">
        <v>3118.3</v>
      </c>
      <c r="F96" s="5" t="str">
        <f>IF(Table2[[#This Row],[sales]]&gt;3000,"High Sales",IF(Table2[[#This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2" t="str">
        <f>IF(AND(Table2[[#This Row],[customer_type]]="MEMBER",OR(Table2[[#This Row],[payment_mode]]="UPI",Table2[[#This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30" t="s">
        <v>29</v>
      </c>
      <c r="D97" s="10" t="s">
        <v>19</v>
      </c>
      <c r="E97" s="10">
        <v>4716.3999999999996</v>
      </c>
      <c r="F97" s="5" t="str">
        <f>IF(Table2[[#This Row],[sales]]&gt;3000,"High Sales",IF(Table2[[#This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2" t="str">
        <f>IF(AND(Table2[[#This Row],[customer_type]]="MEMBER",OR(Table2[[#This Row],[payment_mode]]="UPI",Table2[[#This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29" t="s">
        <v>13</v>
      </c>
      <c r="D98" s="15" t="s">
        <v>19</v>
      </c>
      <c r="E98" s="15">
        <v>4760.5200000000004</v>
      </c>
      <c r="F98" s="5" t="str">
        <f>IF(Table2[[#This Row],[sales]]&gt;3000,"High Sales",IF(Table2[[#This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2" t="str">
        <f>IF(AND(Table2[[#This Row],[customer_type]]="MEMBER",OR(Table2[[#This Row],[payment_mode]]="UPI",Table2[[#This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577</v>
      </c>
      <c r="C99" s="30" t="s">
        <v>577</v>
      </c>
      <c r="D99" s="10" t="s">
        <v>34</v>
      </c>
      <c r="E99" s="10">
        <v>4172.63</v>
      </c>
      <c r="F99" s="5" t="str">
        <f>IF(Table2[[#This Row],[sales]]&gt;3000,"High Sales",IF(Table2[[#This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2" t="str">
        <f>IF(AND(Table2[[#This Row],[customer_type]]="MEMBER",OR(Table2[[#This Row],[payment_mode]]="UPI",Table2[[#This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31" t="s">
        <v>24</v>
      </c>
      <c r="D100" s="15" t="s">
        <v>25</v>
      </c>
      <c r="E100" s="15">
        <v>1038.57</v>
      </c>
      <c r="F100" s="5" t="str">
        <f>IF(Table2[[#This Row],[sales]]&gt;3000,"High Sales",IF(Table2[[#This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2" t="str">
        <f>IF(AND(Table2[[#This Row],[customer_type]]="MEMBER",OR(Table2[[#This Row],[payment_mode]]="UPI",Table2[[#This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30" t="s">
        <v>29</v>
      </c>
      <c r="D101" s="10" t="s">
        <v>34</v>
      </c>
      <c r="E101" s="10">
        <v>1734.23</v>
      </c>
      <c r="F101" s="5" t="str">
        <f>IF(Table2[[#This Row],[sales]]&gt;3000,"High Sales",IF(Table2[[#This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2" t="str">
        <f>IF(AND(Table2[[#This Row],[customer_type]]="MEMBER",OR(Table2[[#This Row],[payment_mode]]="UPI",Table2[[#This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29" t="s">
        <v>13</v>
      </c>
      <c r="D102" s="15" t="s">
        <v>25</v>
      </c>
      <c r="E102" s="15">
        <v>2490.34</v>
      </c>
      <c r="F102" s="5" t="str">
        <f>IF(Table2[[#This Row],[sales]]&gt;3000,"High Sales",IF(Table2[[#This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2" t="str">
        <f>IF(AND(Table2[[#This Row],[customer_type]]="MEMBER",OR(Table2[[#This Row],[payment_mode]]="UPI",Table2[[#This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577</v>
      </c>
      <c r="C103" s="30" t="s">
        <v>577</v>
      </c>
      <c r="D103" s="10" t="s">
        <v>34</v>
      </c>
      <c r="E103" s="10">
        <v>4536.76</v>
      </c>
      <c r="F103" s="5" t="str">
        <f>IF(Table2[[#This Row],[sales]]&gt;3000,"High Sales",IF(Table2[[#This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2" t="str">
        <f>IF(AND(Table2[[#This Row],[customer_type]]="MEMBER",OR(Table2[[#This Row],[payment_mode]]="UPI",Table2[[#This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31" t="s">
        <v>24</v>
      </c>
      <c r="D104" s="15" t="s">
        <v>25</v>
      </c>
      <c r="E104" s="15">
        <v>2652.24</v>
      </c>
      <c r="F104" s="5" t="str">
        <f>IF(Table2[[#This Row],[sales]]&gt;3000,"High Sales",IF(Table2[[#This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2" t="str">
        <f>IF(AND(Table2[[#This Row],[customer_type]]="MEMBER",OR(Table2[[#This Row],[payment_mode]]="UPI",Table2[[#This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30" t="s">
        <v>29</v>
      </c>
      <c r="D105" s="10" t="s">
        <v>34</v>
      </c>
      <c r="E105" s="10">
        <v>4889.43</v>
      </c>
      <c r="F105" s="5" t="str">
        <f>IF(Table2[[#This Row],[sales]]&gt;3000,"High Sales",IF(Table2[[#This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2" t="str">
        <f>IF(AND(Table2[[#This Row],[customer_type]]="MEMBER",OR(Table2[[#This Row],[payment_mode]]="UPI",Table2[[#This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29" t="s">
        <v>13</v>
      </c>
      <c r="D106" s="15" t="s">
        <v>25</v>
      </c>
      <c r="E106" s="15">
        <v>4920.82</v>
      </c>
      <c r="F106" s="5" t="str">
        <f>IF(Table2[[#This Row],[sales]]&gt;3000,"High Sales",IF(Table2[[#This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2" t="str">
        <f>IF(AND(Table2[[#This Row],[customer_type]]="MEMBER",OR(Table2[[#This Row],[payment_mode]]="UPI",Table2[[#This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577</v>
      </c>
      <c r="C107" s="30" t="s">
        <v>577</v>
      </c>
      <c r="D107" s="10" t="s">
        <v>34</v>
      </c>
      <c r="E107" s="10">
        <v>3033.06</v>
      </c>
      <c r="F107" s="5" t="str">
        <f>IF(Table2[[#This Row],[sales]]&gt;3000,"High Sales",IF(Table2[[#This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2" t="str">
        <f>IF(AND(Table2[[#This Row],[customer_type]]="MEMBER",OR(Table2[[#This Row],[payment_mode]]="UPI",Table2[[#This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31" t="s">
        <v>24</v>
      </c>
      <c r="D108" s="15" t="s">
        <v>19</v>
      </c>
      <c r="E108" s="15">
        <v>4399.7299999999996</v>
      </c>
      <c r="F108" s="5" t="str">
        <f>IF(Table2[[#This Row],[sales]]&gt;3000,"High Sales",IF(Table2[[#This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2" t="str">
        <f>IF(AND(Table2[[#This Row],[customer_type]]="MEMBER",OR(Table2[[#This Row],[payment_mode]]="UPI",Table2[[#This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30" t="s">
        <v>29</v>
      </c>
      <c r="D109" s="10" t="s">
        <v>37</v>
      </c>
      <c r="E109" s="10">
        <v>4996.1899999999996</v>
      </c>
      <c r="F109" s="5" t="str">
        <f>IF(Table2[[#This Row],[sales]]&gt;3000,"High Sales",IF(Table2[[#This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2" t="str">
        <f>IF(AND(Table2[[#This Row],[customer_type]]="MEMBER",OR(Table2[[#This Row],[payment_mode]]="UPI",Table2[[#This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29" t="s">
        <v>13</v>
      </c>
      <c r="D110" s="15" t="s">
        <v>34</v>
      </c>
      <c r="E110" s="15">
        <v>4263.6099999999997</v>
      </c>
      <c r="F110" s="5" t="str">
        <f>IF(Table2[[#This Row],[sales]]&gt;3000,"High Sales",IF(Table2[[#This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2" t="str">
        <f>IF(AND(Table2[[#This Row],[customer_type]]="MEMBER",OR(Table2[[#This Row],[payment_mode]]="UPI",Table2[[#This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577</v>
      </c>
      <c r="C111" s="30" t="s">
        <v>577</v>
      </c>
      <c r="D111" s="10" t="s">
        <v>37</v>
      </c>
      <c r="E111" s="10">
        <v>3318.86</v>
      </c>
      <c r="F111" s="5" t="str">
        <f>IF(Table2[[#This Row],[sales]]&gt;3000,"High Sales",IF(Table2[[#This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2" t="str">
        <f>IF(AND(Table2[[#This Row],[customer_type]]="MEMBER",OR(Table2[[#This Row],[payment_mode]]="UPI",Table2[[#This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31" t="s">
        <v>24</v>
      </c>
      <c r="D112" s="15" t="s">
        <v>19</v>
      </c>
      <c r="E112" s="15">
        <v>4241.1499999999996</v>
      </c>
      <c r="F112" s="5" t="str">
        <f>IF(Table2[[#This Row],[sales]]&gt;3000,"High Sales",IF(Table2[[#This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2" t="str">
        <f>IF(AND(Table2[[#This Row],[customer_type]]="MEMBER",OR(Table2[[#This Row],[payment_mode]]="UPI",Table2[[#This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30" t="s">
        <v>29</v>
      </c>
      <c r="D113" s="10" t="s">
        <v>19</v>
      </c>
      <c r="E113" s="10">
        <v>505.01</v>
      </c>
      <c r="F113" s="5" t="str">
        <f>IF(Table2[[#This Row],[sales]]&gt;3000,"High Sales",IF(Table2[[#This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2" t="str">
        <f>IF(AND(Table2[[#This Row],[customer_type]]="MEMBER",OR(Table2[[#This Row],[payment_mode]]="UPI",Table2[[#This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29" t="s">
        <v>13</v>
      </c>
      <c r="D114" s="15" t="s">
        <v>25</v>
      </c>
      <c r="E114" s="15">
        <v>3210.62</v>
      </c>
      <c r="F114" s="5" t="str">
        <f>IF(Table2[[#This Row],[sales]]&gt;3000,"High Sales",IF(Table2[[#This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2" t="str">
        <f>IF(AND(Table2[[#This Row],[customer_type]]="MEMBER",OR(Table2[[#This Row],[payment_mode]]="UPI",Table2[[#This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577</v>
      </c>
      <c r="C115" s="30" t="s">
        <v>577</v>
      </c>
      <c r="D115" s="10" t="s">
        <v>37</v>
      </c>
      <c r="E115" s="10">
        <v>1160.96</v>
      </c>
      <c r="F115" s="5" t="str">
        <f>IF(Table2[[#This Row],[sales]]&gt;3000,"High Sales",IF(Table2[[#This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2" t="str">
        <f>IF(AND(Table2[[#This Row],[customer_type]]="MEMBER",OR(Table2[[#This Row],[payment_mode]]="UPI",Table2[[#This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31" t="s">
        <v>24</v>
      </c>
      <c r="D116" s="15" t="s">
        <v>14</v>
      </c>
      <c r="E116" s="15">
        <v>668.71</v>
      </c>
      <c r="F116" s="5" t="str">
        <f>IF(Table2[[#This Row],[sales]]&gt;3000,"High Sales",IF(Table2[[#This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2" t="str">
        <f>IF(AND(Table2[[#This Row],[customer_type]]="MEMBER",OR(Table2[[#This Row],[payment_mode]]="UPI",Table2[[#This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30" t="s">
        <v>29</v>
      </c>
      <c r="D117" s="10" t="s">
        <v>25</v>
      </c>
      <c r="E117" s="10">
        <v>4475.07</v>
      </c>
      <c r="F117" s="5" t="str">
        <f>IF(Table2[[#This Row],[sales]]&gt;3000,"High Sales",IF(Table2[[#This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2" t="str">
        <f>IF(AND(Table2[[#This Row],[customer_type]]="MEMBER",OR(Table2[[#This Row],[payment_mode]]="UPI",Table2[[#This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29" t="s">
        <v>13</v>
      </c>
      <c r="D118" s="15" t="s">
        <v>37</v>
      </c>
      <c r="E118" s="15">
        <v>3234.26</v>
      </c>
      <c r="F118" s="5" t="str">
        <f>IF(Table2[[#This Row],[sales]]&gt;3000,"High Sales",IF(Table2[[#This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2" t="str">
        <f>IF(AND(Table2[[#This Row],[customer_type]]="MEMBER",OR(Table2[[#This Row],[payment_mode]]="UPI",Table2[[#This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577</v>
      </c>
      <c r="C119" s="30" t="s">
        <v>577</v>
      </c>
      <c r="D119" s="10" t="s">
        <v>34</v>
      </c>
      <c r="E119" s="10">
        <v>1293.3800000000001</v>
      </c>
      <c r="F119" s="5" t="str">
        <f>IF(Table2[[#This Row],[sales]]&gt;3000,"High Sales",IF(Table2[[#This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2" t="str">
        <f>IF(AND(Table2[[#This Row],[customer_type]]="MEMBER",OR(Table2[[#This Row],[payment_mode]]="UPI",Table2[[#This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31" t="s">
        <v>24</v>
      </c>
      <c r="D120" s="15" t="s">
        <v>34</v>
      </c>
      <c r="E120" s="15">
        <v>1995.23</v>
      </c>
      <c r="F120" s="5" t="str">
        <f>IF(Table2[[#This Row],[sales]]&gt;3000,"High Sales",IF(Table2[[#This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2" t="str">
        <f>IF(AND(Table2[[#This Row],[customer_type]]="MEMBER",OR(Table2[[#This Row],[payment_mode]]="UPI",Table2[[#This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30" t="s">
        <v>29</v>
      </c>
      <c r="D121" s="10" t="s">
        <v>19</v>
      </c>
      <c r="E121" s="10">
        <v>4869.0600000000004</v>
      </c>
      <c r="F121" s="5" t="str">
        <f>IF(Table2[[#This Row],[sales]]&gt;3000,"High Sales",IF(Table2[[#This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2" t="str">
        <f>IF(AND(Table2[[#This Row],[customer_type]]="MEMBER",OR(Table2[[#This Row],[payment_mode]]="UPI",Table2[[#This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29" t="s">
        <v>13</v>
      </c>
      <c r="D122" s="15" t="s">
        <v>14</v>
      </c>
      <c r="E122" s="15">
        <v>4324.6899999999996</v>
      </c>
      <c r="F122" s="5" t="str">
        <f>IF(Table2[[#This Row],[sales]]&gt;3000,"High Sales",IF(Table2[[#This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2" t="str">
        <f>IF(AND(Table2[[#This Row],[customer_type]]="MEMBER",OR(Table2[[#This Row],[payment_mode]]="UPI",Table2[[#This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577</v>
      </c>
      <c r="C123" s="30" t="s">
        <v>577</v>
      </c>
      <c r="D123" s="10" t="s">
        <v>34</v>
      </c>
      <c r="E123" s="10">
        <v>176.35</v>
      </c>
      <c r="F123" s="5" t="str">
        <f>IF(Table2[[#This Row],[sales]]&gt;3000,"High Sales",IF(Table2[[#This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2" t="str">
        <f>IF(AND(Table2[[#This Row],[customer_type]]="MEMBER",OR(Table2[[#This Row],[payment_mode]]="UPI",Table2[[#This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31" t="s">
        <v>24</v>
      </c>
      <c r="D124" s="15" t="s">
        <v>37</v>
      </c>
      <c r="E124" s="15">
        <v>4901.0200000000004</v>
      </c>
      <c r="F124" s="5" t="str">
        <f>IF(Table2[[#This Row],[sales]]&gt;3000,"High Sales",IF(Table2[[#This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2" t="str">
        <f>IF(AND(Table2[[#This Row],[customer_type]]="MEMBER",OR(Table2[[#This Row],[payment_mode]]="UPI",Table2[[#This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30" t="s">
        <v>29</v>
      </c>
      <c r="D125" s="10" t="s">
        <v>37</v>
      </c>
      <c r="E125" s="10">
        <v>1905.79</v>
      </c>
      <c r="F125" s="5" t="str">
        <f>IF(Table2[[#This Row],[sales]]&gt;3000,"High Sales",IF(Table2[[#This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2" t="str">
        <f>IF(AND(Table2[[#This Row],[customer_type]]="MEMBER",OR(Table2[[#This Row],[payment_mode]]="UPI",Table2[[#This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29" t="s">
        <v>13</v>
      </c>
      <c r="D126" s="15" t="s">
        <v>34</v>
      </c>
      <c r="E126" s="15">
        <v>3507.55</v>
      </c>
      <c r="F126" s="5" t="str">
        <f>IF(Table2[[#This Row],[sales]]&gt;3000,"High Sales",IF(Table2[[#This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2" t="str">
        <f>IF(AND(Table2[[#This Row],[customer_type]]="MEMBER",OR(Table2[[#This Row],[payment_mode]]="UPI",Table2[[#This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577</v>
      </c>
      <c r="C127" s="30" t="s">
        <v>577</v>
      </c>
      <c r="D127" s="10" t="s">
        <v>37</v>
      </c>
      <c r="E127" s="10">
        <v>3592.12</v>
      </c>
      <c r="F127" s="5" t="str">
        <f>IF(Table2[[#This Row],[sales]]&gt;3000,"High Sales",IF(Table2[[#This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2" t="str">
        <f>IF(AND(Table2[[#This Row],[customer_type]]="MEMBER",OR(Table2[[#This Row],[payment_mode]]="UPI",Table2[[#This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31" t="s">
        <v>24</v>
      </c>
      <c r="D128" s="15" t="s">
        <v>37</v>
      </c>
      <c r="E128" s="15">
        <v>4567.25</v>
      </c>
      <c r="F128" s="5" t="str">
        <f>IF(Table2[[#This Row],[sales]]&gt;3000,"High Sales",IF(Table2[[#This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2" t="str">
        <f>IF(AND(Table2[[#This Row],[customer_type]]="MEMBER",OR(Table2[[#This Row],[payment_mode]]="UPI",Table2[[#This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30" t="s">
        <v>29</v>
      </c>
      <c r="D129" s="10" t="s">
        <v>19</v>
      </c>
      <c r="E129" s="10">
        <v>4436.8</v>
      </c>
      <c r="F129" s="5" t="str">
        <f>IF(Table2[[#This Row],[sales]]&gt;3000,"High Sales",IF(Table2[[#This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2" t="str">
        <f>IF(AND(Table2[[#This Row],[customer_type]]="MEMBER",OR(Table2[[#This Row],[payment_mode]]="UPI",Table2[[#This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29" t="s">
        <v>13</v>
      </c>
      <c r="D130" s="15" t="s">
        <v>14</v>
      </c>
      <c r="E130" s="15">
        <v>1480.47</v>
      </c>
      <c r="F130" s="5" t="str">
        <f>IF(Table2[[#This Row],[sales]]&gt;3000,"High Sales",IF(Table2[[#This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2" t="str">
        <f>IF(AND(Table2[[#This Row],[customer_type]]="MEMBER",OR(Table2[[#This Row],[payment_mode]]="UPI",Table2[[#This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577</v>
      </c>
      <c r="C131" s="30" t="s">
        <v>577</v>
      </c>
      <c r="D131" s="10" t="s">
        <v>19</v>
      </c>
      <c r="E131" s="10">
        <v>3253.32</v>
      </c>
      <c r="F131" s="5" t="str">
        <f>IF(Table2[[#This Row],[sales]]&gt;3000,"High Sales",IF(Table2[[#This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2" t="str">
        <f>IF(AND(Table2[[#This Row],[customer_type]]="MEMBER",OR(Table2[[#This Row],[payment_mode]]="UPI",Table2[[#This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31" t="s">
        <v>24</v>
      </c>
      <c r="D132" s="15" t="s">
        <v>14</v>
      </c>
      <c r="E132" s="15">
        <v>2029.16</v>
      </c>
      <c r="F132" s="5" t="str">
        <f>IF(Table2[[#This Row],[sales]]&gt;3000,"High Sales",IF(Table2[[#This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2" t="str">
        <f>IF(AND(Table2[[#This Row],[customer_type]]="MEMBER",OR(Table2[[#This Row],[payment_mode]]="UPI",Table2[[#This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30" t="s">
        <v>29</v>
      </c>
      <c r="D133" s="10" t="s">
        <v>37</v>
      </c>
      <c r="E133" s="10">
        <v>2675.16</v>
      </c>
      <c r="F133" s="5" t="str">
        <f>IF(Table2[[#This Row],[sales]]&gt;3000,"High Sales",IF(Table2[[#This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2" t="str">
        <f>IF(AND(Table2[[#This Row],[customer_type]]="MEMBER",OR(Table2[[#This Row],[payment_mode]]="UPI",Table2[[#This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29" t="s">
        <v>13</v>
      </c>
      <c r="D134" s="15" t="s">
        <v>14</v>
      </c>
      <c r="E134" s="15">
        <v>2817.92</v>
      </c>
      <c r="F134" s="5" t="str">
        <f>IF(Table2[[#This Row],[sales]]&gt;3000,"High Sales",IF(Table2[[#This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2" t="str">
        <f>IF(AND(Table2[[#This Row],[customer_type]]="MEMBER",OR(Table2[[#This Row],[payment_mode]]="UPI",Table2[[#This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577</v>
      </c>
      <c r="C135" s="30" t="s">
        <v>577</v>
      </c>
      <c r="D135" s="10" t="s">
        <v>37</v>
      </c>
      <c r="E135" s="10">
        <v>2042.08</v>
      </c>
      <c r="F135" s="5" t="str">
        <f>IF(Table2[[#This Row],[sales]]&gt;3000,"High Sales",IF(Table2[[#This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2" t="str">
        <f>IF(AND(Table2[[#This Row],[customer_type]]="MEMBER",OR(Table2[[#This Row],[payment_mode]]="UPI",Table2[[#This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31" t="s">
        <v>24</v>
      </c>
      <c r="D136" s="15" t="s">
        <v>37</v>
      </c>
      <c r="E136" s="15">
        <v>2373.08</v>
      </c>
      <c r="F136" s="5" t="str">
        <f>IF(Table2[[#This Row],[sales]]&gt;3000,"High Sales",IF(Table2[[#This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2" t="str">
        <f>IF(AND(Table2[[#This Row],[customer_type]]="MEMBER",OR(Table2[[#This Row],[payment_mode]]="UPI",Table2[[#This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30" t="s">
        <v>29</v>
      </c>
      <c r="D137" s="10" t="s">
        <v>19</v>
      </c>
      <c r="E137" s="10">
        <v>1120.8800000000001</v>
      </c>
      <c r="F137" s="5" t="str">
        <f>IF(Table2[[#This Row],[sales]]&gt;3000,"High Sales",IF(Table2[[#This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2" t="str">
        <f>IF(AND(Table2[[#This Row],[customer_type]]="MEMBER",OR(Table2[[#This Row],[payment_mode]]="UPI",Table2[[#This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29" t="s">
        <v>13</v>
      </c>
      <c r="D138" s="15" t="s">
        <v>19</v>
      </c>
      <c r="E138" s="15">
        <v>3077.47</v>
      </c>
      <c r="F138" s="5" t="str">
        <f>IF(Table2[[#This Row],[sales]]&gt;3000,"High Sales",IF(Table2[[#This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2" t="str">
        <f>IF(AND(Table2[[#This Row],[customer_type]]="MEMBER",OR(Table2[[#This Row],[payment_mode]]="UPI",Table2[[#This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577</v>
      </c>
      <c r="C139" s="30" t="s">
        <v>577</v>
      </c>
      <c r="D139" s="10" t="s">
        <v>25</v>
      </c>
      <c r="E139" s="10">
        <v>3818.9</v>
      </c>
      <c r="F139" s="5" t="str">
        <f>IF(Table2[[#This Row],[sales]]&gt;3000,"High Sales",IF(Table2[[#This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2" t="str">
        <f>IF(AND(Table2[[#This Row],[customer_type]]="MEMBER",OR(Table2[[#This Row],[payment_mode]]="UPI",Table2[[#This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31" t="s">
        <v>24</v>
      </c>
      <c r="D140" s="15" t="s">
        <v>34</v>
      </c>
      <c r="E140" s="15">
        <v>2205.73</v>
      </c>
      <c r="F140" s="5" t="str">
        <f>IF(Table2[[#This Row],[sales]]&gt;3000,"High Sales",IF(Table2[[#This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2" t="str">
        <f>IF(AND(Table2[[#This Row],[customer_type]]="MEMBER",OR(Table2[[#This Row],[payment_mode]]="UPI",Table2[[#This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30" t="s">
        <v>29</v>
      </c>
      <c r="D141" s="10" t="s">
        <v>25</v>
      </c>
      <c r="E141" s="10">
        <v>4890.63</v>
      </c>
      <c r="F141" s="5" t="str">
        <f>IF(Table2[[#This Row],[sales]]&gt;3000,"High Sales",IF(Table2[[#This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2" t="str">
        <f>IF(AND(Table2[[#This Row],[customer_type]]="MEMBER",OR(Table2[[#This Row],[payment_mode]]="UPI",Table2[[#This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29" t="s">
        <v>13</v>
      </c>
      <c r="D142" s="15" t="s">
        <v>25</v>
      </c>
      <c r="E142" s="15">
        <v>380.41</v>
      </c>
      <c r="F142" s="5" t="str">
        <f>IF(Table2[[#This Row],[sales]]&gt;3000,"High Sales",IF(Table2[[#This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2" t="str">
        <f>IF(AND(Table2[[#This Row],[customer_type]]="MEMBER",OR(Table2[[#This Row],[payment_mode]]="UPI",Table2[[#This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577</v>
      </c>
      <c r="C143" s="30" t="s">
        <v>577</v>
      </c>
      <c r="D143" s="10" t="s">
        <v>14</v>
      </c>
      <c r="E143" s="10">
        <v>2986.89</v>
      </c>
      <c r="F143" s="5" t="str">
        <f>IF(Table2[[#This Row],[sales]]&gt;3000,"High Sales",IF(Table2[[#This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2" t="str">
        <f>IF(AND(Table2[[#This Row],[customer_type]]="MEMBER",OR(Table2[[#This Row],[payment_mode]]="UPI",Table2[[#This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31" t="s">
        <v>24</v>
      </c>
      <c r="D144" s="15" t="s">
        <v>37</v>
      </c>
      <c r="E144" s="15">
        <v>2959.64</v>
      </c>
      <c r="F144" s="5" t="str">
        <f>IF(Table2[[#This Row],[sales]]&gt;3000,"High Sales",IF(Table2[[#This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2" t="str">
        <f>IF(AND(Table2[[#This Row],[customer_type]]="MEMBER",OR(Table2[[#This Row],[payment_mode]]="UPI",Table2[[#This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30" t="s">
        <v>29</v>
      </c>
      <c r="D145" s="10" t="s">
        <v>37</v>
      </c>
      <c r="E145" s="10">
        <v>277.85000000000002</v>
      </c>
      <c r="F145" s="5" t="str">
        <f>IF(Table2[[#This Row],[sales]]&gt;3000,"High Sales",IF(Table2[[#This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2" t="str">
        <f>IF(AND(Table2[[#This Row],[customer_type]]="MEMBER",OR(Table2[[#This Row],[payment_mode]]="UPI",Table2[[#This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29" t="s">
        <v>13</v>
      </c>
      <c r="D146" s="15" t="s">
        <v>37</v>
      </c>
      <c r="E146" s="15">
        <v>1200.3900000000001</v>
      </c>
      <c r="F146" s="5" t="str">
        <f>IF(Table2[[#This Row],[sales]]&gt;3000,"High Sales",IF(Table2[[#This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2" t="str">
        <f>IF(AND(Table2[[#This Row],[customer_type]]="MEMBER",OR(Table2[[#This Row],[payment_mode]]="UPI",Table2[[#This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577</v>
      </c>
      <c r="C147" s="30" t="s">
        <v>577</v>
      </c>
      <c r="D147" s="10" t="s">
        <v>34</v>
      </c>
      <c r="E147" s="10">
        <v>4537.16</v>
      </c>
      <c r="F147" s="5" t="str">
        <f>IF(Table2[[#This Row],[sales]]&gt;3000,"High Sales",IF(Table2[[#This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2" t="str">
        <f>IF(AND(Table2[[#This Row],[customer_type]]="MEMBER",OR(Table2[[#This Row],[payment_mode]]="UPI",Table2[[#This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31" t="s">
        <v>24</v>
      </c>
      <c r="D148" s="15" t="s">
        <v>14</v>
      </c>
      <c r="E148" s="15">
        <v>2768.12</v>
      </c>
      <c r="F148" s="5" t="str">
        <f>IF(Table2[[#This Row],[sales]]&gt;3000,"High Sales",IF(Table2[[#This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2" t="str">
        <f>IF(AND(Table2[[#This Row],[customer_type]]="MEMBER",OR(Table2[[#This Row],[payment_mode]]="UPI",Table2[[#This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30" t="s">
        <v>29</v>
      </c>
      <c r="D149" s="10" t="s">
        <v>14</v>
      </c>
      <c r="E149" s="10">
        <v>2238.29</v>
      </c>
      <c r="F149" s="5" t="str">
        <f>IF(Table2[[#This Row],[sales]]&gt;3000,"High Sales",IF(Table2[[#This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2" t="str">
        <f>IF(AND(Table2[[#This Row],[customer_type]]="MEMBER",OR(Table2[[#This Row],[payment_mode]]="UPI",Table2[[#This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29" t="s">
        <v>13</v>
      </c>
      <c r="D150" s="15" t="s">
        <v>37</v>
      </c>
      <c r="E150" s="15">
        <v>2135.9299999999998</v>
      </c>
      <c r="F150" s="5" t="str">
        <f>IF(Table2[[#This Row],[sales]]&gt;3000,"High Sales",IF(Table2[[#This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2" t="str">
        <f>IF(AND(Table2[[#This Row],[customer_type]]="MEMBER",OR(Table2[[#This Row],[payment_mode]]="UPI",Table2[[#This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577</v>
      </c>
      <c r="C151" s="30" t="s">
        <v>577</v>
      </c>
      <c r="D151" s="10" t="s">
        <v>25</v>
      </c>
      <c r="E151" s="10">
        <v>4451.99</v>
      </c>
      <c r="F151" s="5" t="str">
        <f>IF(Table2[[#This Row],[sales]]&gt;3000,"High Sales",IF(Table2[[#This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2" t="str">
        <f>IF(AND(Table2[[#This Row],[customer_type]]="MEMBER",OR(Table2[[#This Row],[payment_mode]]="UPI",Table2[[#This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31" t="s">
        <v>24</v>
      </c>
      <c r="D152" s="15" t="s">
        <v>34</v>
      </c>
      <c r="E152" s="15">
        <v>1898.45</v>
      </c>
      <c r="F152" s="5" t="str">
        <f>IF(Table2[[#This Row],[sales]]&gt;3000,"High Sales",IF(Table2[[#This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2" t="str">
        <f>IF(AND(Table2[[#This Row],[customer_type]]="MEMBER",OR(Table2[[#This Row],[payment_mode]]="UPI",Table2[[#This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30" t="s">
        <v>29</v>
      </c>
      <c r="D153" s="10" t="s">
        <v>25</v>
      </c>
      <c r="E153" s="10">
        <v>4309.92</v>
      </c>
      <c r="F153" s="5" t="str">
        <f>IF(Table2[[#This Row],[sales]]&gt;3000,"High Sales",IF(Table2[[#This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2" t="str">
        <f>IF(AND(Table2[[#This Row],[customer_type]]="MEMBER",OR(Table2[[#This Row],[payment_mode]]="UPI",Table2[[#This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29" t="s">
        <v>13</v>
      </c>
      <c r="D154" s="15" t="s">
        <v>19</v>
      </c>
      <c r="E154" s="15">
        <v>1615.04</v>
      </c>
      <c r="F154" s="5" t="str">
        <f>IF(Table2[[#This Row],[sales]]&gt;3000,"High Sales",IF(Table2[[#This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2" t="str">
        <f>IF(AND(Table2[[#This Row],[customer_type]]="MEMBER",OR(Table2[[#This Row],[payment_mode]]="UPI",Table2[[#This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577</v>
      </c>
      <c r="C155" s="30" t="s">
        <v>577</v>
      </c>
      <c r="D155" s="10" t="s">
        <v>14</v>
      </c>
      <c r="E155" s="10">
        <v>2704.37</v>
      </c>
      <c r="F155" s="5" t="str">
        <f>IF(Table2[[#This Row],[sales]]&gt;3000,"High Sales",IF(Table2[[#This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2" t="str">
        <f>IF(AND(Table2[[#This Row],[customer_type]]="MEMBER",OR(Table2[[#This Row],[payment_mode]]="UPI",Table2[[#This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31" t="s">
        <v>24</v>
      </c>
      <c r="D156" s="15" t="s">
        <v>14</v>
      </c>
      <c r="E156" s="15">
        <v>804.72</v>
      </c>
      <c r="F156" s="5" t="str">
        <f>IF(Table2[[#This Row],[sales]]&gt;3000,"High Sales",IF(Table2[[#This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2" t="str">
        <f>IF(AND(Table2[[#This Row],[customer_type]]="MEMBER",OR(Table2[[#This Row],[payment_mode]]="UPI",Table2[[#This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30" t="s">
        <v>29</v>
      </c>
      <c r="D157" s="10" t="s">
        <v>25</v>
      </c>
      <c r="E157" s="10">
        <v>4142.6499999999996</v>
      </c>
      <c r="F157" s="5" t="str">
        <f>IF(Table2[[#This Row],[sales]]&gt;3000,"High Sales",IF(Table2[[#This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2" t="str">
        <f>IF(AND(Table2[[#This Row],[customer_type]]="MEMBER",OR(Table2[[#This Row],[payment_mode]]="UPI",Table2[[#This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29" t="s">
        <v>13</v>
      </c>
      <c r="D158" s="15" t="s">
        <v>34</v>
      </c>
      <c r="E158" s="15">
        <v>3706.28</v>
      </c>
      <c r="F158" s="5" t="str">
        <f>IF(Table2[[#This Row],[sales]]&gt;3000,"High Sales",IF(Table2[[#This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2" t="str">
        <f>IF(AND(Table2[[#This Row],[customer_type]]="MEMBER",OR(Table2[[#This Row],[payment_mode]]="UPI",Table2[[#This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577</v>
      </c>
      <c r="C159" s="30" t="s">
        <v>577</v>
      </c>
      <c r="D159" s="10" t="s">
        <v>14</v>
      </c>
      <c r="E159" s="10">
        <v>2697.46</v>
      </c>
      <c r="F159" s="5" t="str">
        <f>IF(Table2[[#This Row],[sales]]&gt;3000,"High Sales",IF(Table2[[#This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2" t="str">
        <f>IF(AND(Table2[[#This Row],[customer_type]]="MEMBER",OR(Table2[[#This Row],[payment_mode]]="UPI",Table2[[#This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31" t="s">
        <v>24</v>
      </c>
      <c r="D160" s="15" t="s">
        <v>25</v>
      </c>
      <c r="E160" s="15">
        <v>226.92</v>
      </c>
      <c r="F160" s="5" t="str">
        <f>IF(Table2[[#This Row],[sales]]&gt;3000,"High Sales",IF(Table2[[#This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2" t="str">
        <f>IF(AND(Table2[[#This Row],[customer_type]]="MEMBER",OR(Table2[[#This Row],[payment_mode]]="UPI",Table2[[#This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30" t="s">
        <v>29</v>
      </c>
      <c r="D161" s="10" t="s">
        <v>34</v>
      </c>
      <c r="E161" s="10">
        <v>2458.16</v>
      </c>
      <c r="F161" s="5" t="str">
        <f>IF(Table2[[#This Row],[sales]]&gt;3000,"High Sales",IF(Table2[[#This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2" t="str">
        <f>IF(AND(Table2[[#This Row],[customer_type]]="MEMBER",OR(Table2[[#This Row],[payment_mode]]="UPI",Table2[[#This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29" t="s">
        <v>13</v>
      </c>
      <c r="D162" s="15" t="s">
        <v>25</v>
      </c>
      <c r="E162" s="15">
        <v>1203.46</v>
      </c>
      <c r="F162" s="5" t="str">
        <f>IF(Table2[[#This Row],[sales]]&gt;3000,"High Sales",IF(Table2[[#This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2" t="str">
        <f>IF(AND(Table2[[#This Row],[customer_type]]="MEMBER",OR(Table2[[#This Row],[payment_mode]]="UPI",Table2[[#This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577</v>
      </c>
      <c r="C163" s="30" t="s">
        <v>577</v>
      </c>
      <c r="D163" s="10" t="s">
        <v>34</v>
      </c>
      <c r="E163" s="10">
        <v>2125.5300000000002</v>
      </c>
      <c r="F163" s="5" t="str">
        <f>IF(Table2[[#This Row],[sales]]&gt;3000,"High Sales",IF(Table2[[#This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2" t="str">
        <f>IF(AND(Table2[[#This Row],[customer_type]]="MEMBER",OR(Table2[[#This Row],[payment_mode]]="UPI",Table2[[#This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31" t="s">
        <v>24</v>
      </c>
      <c r="D164" s="15" t="s">
        <v>37</v>
      </c>
      <c r="E164" s="15">
        <v>4296.49</v>
      </c>
      <c r="F164" s="5" t="str">
        <f>IF(Table2[[#This Row],[sales]]&gt;3000,"High Sales",IF(Table2[[#This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2" t="str">
        <f>IF(AND(Table2[[#This Row],[customer_type]]="MEMBER",OR(Table2[[#This Row],[payment_mode]]="UPI",Table2[[#This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30" t="s">
        <v>29</v>
      </c>
      <c r="D165" s="10" t="s">
        <v>34</v>
      </c>
      <c r="E165" s="10">
        <v>3871.06</v>
      </c>
      <c r="F165" s="5" t="str">
        <f>IF(Table2[[#This Row],[sales]]&gt;3000,"High Sales",IF(Table2[[#This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2" t="str">
        <f>IF(AND(Table2[[#This Row],[customer_type]]="MEMBER",OR(Table2[[#This Row],[payment_mode]]="UPI",Table2[[#This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29" t="s">
        <v>13</v>
      </c>
      <c r="D166" s="15" t="s">
        <v>19</v>
      </c>
      <c r="E166" s="15">
        <v>1285.57</v>
      </c>
      <c r="F166" s="5" t="str">
        <f>IF(Table2[[#This Row],[sales]]&gt;3000,"High Sales",IF(Table2[[#This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2" t="str">
        <f>IF(AND(Table2[[#This Row],[customer_type]]="MEMBER",OR(Table2[[#This Row],[payment_mode]]="UPI",Table2[[#This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577</v>
      </c>
      <c r="C167" s="30" t="s">
        <v>577</v>
      </c>
      <c r="D167" s="10" t="s">
        <v>37</v>
      </c>
      <c r="E167" s="10">
        <v>4926.2700000000004</v>
      </c>
      <c r="F167" s="5" t="str">
        <f>IF(Table2[[#This Row],[sales]]&gt;3000,"High Sales",IF(Table2[[#This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2" t="str">
        <f>IF(AND(Table2[[#This Row],[customer_type]]="MEMBER",OR(Table2[[#This Row],[payment_mode]]="UPI",Table2[[#This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31" t="s">
        <v>24</v>
      </c>
      <c r="D168" s="15" t="s">
        <v>25</v>
      </c>
      <c r="E168" s="15">
        <v>4525.7299999999996</v>
      </c>
      <c r="F168" s="5" t="str">
        <f>IF(Table2[[#This Row],[sales]]&gt;3000,"High Sales",IF(Table2[[#This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2" t="str">
        <f>IF(AND(Table2[[#This Row],[customer_type]]="MEMBER",OR(Table2[[#This Row],[payment_mode]]="UPI",Table2[[#This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30" t="s">
        <v>29</v>
      </c>
      <c r="D169" s="10" t="s">
        <v>37</v>
      </c>
      <c r="E169" s="10">
        <v>2690.5</v>
      </c>
      <c r="F169" s="5" t="str">
        <f>IF(Table2[[#This Row],[sales]]&gt;3000,"High Sales",IF(Table2[[#This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2" t="str">
        <f>IF(AND(Table2[[#This Row],[customer_type]]="MEMBER",OR(Table2[[#This Row],[payment_mode]]="UPI",Table2[[#This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29" t="s">
        <v>13</v>
      </c>
      <c r="D170" s="15" t="s">
        <v>37</v>
      </c>
      <c r="E170" s="15">
        <v>2697.74</v>
      </c>
      <c r="F170" s="5" t="str">
        <f>IF(Table2[[#This Row],[sales]]&gt;3000,"High Sales",IF(Table2[[#This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2" t="str">
        <f>IF(AND(Table2[[#This Row],[customer_type]]="MEMBER",OR(Table2[[#This Row],[payment_mode]]="UPI",Table2[[#This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577</v>
      </c>
      <c r="C171" s="30" t="s">
        <v>577</v>
      </c>
      <c r="D171" s="10" t="s">
        <v>25</v>
      </c>
      <c r="E171" s="10">
        <v>4516.2</v>
      </c>
      <c r="F171" s="5" t="str">
        <f>IF(Table2[[#This Row],[sales]]&gt;3000,"High Sales",IF(Table2[[#This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2" t="str">
        <f>IF(AND(Table2[[#This Row],[customer_type]]="MEMBER",OR(Table2[[#This Row],[payment_mode]]="UPI",Table2[[#This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31" t="s">
        <v>24</v>
      </c>
      <c r="D172" s="15" t="s">
        <v>25</v>
      </c>
      <c r="E172" s="15">
        <v>3217.11</v>
      </c>
      <c r="F172" s="5" t="str">
        <f>IF(Table2[[#This Row],[sales]]&gt;3000,"High Sales",IF(Table2[[#This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2" t="str">
        <f>IF(AND(Table2[[#This Row],[customer_type]]="MEMBER",OR(Table2[[#This Row],[payment_mode]]="UPI",Table2[[#This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30" t="s">
        <v>29</v>
      </c>
      <c r="D173" s="10" t="s">
        <v>19</v>
      </c>
      <c r="E173" s="10">
        <v>2729.77</v>
      </c>
      <c r="F173" s="5" t="str">
        <f>IF(Table2[[#This Row],[sales]]&gt;3000,"High Sales",IF(Table2[[#This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2" t="str">
        <f>IF(AND(Table2[[#This Row],[customer_type]]="MEMBER",OR(Table2[[#This Row],[payment_mode]]="UPI",Table2[[#This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29" t="s">
        <v>13</v>
      </c>
      <c r="D174" s="15" t="s">
        <v>25</v>
      </c>
      <c r="E174" s="15">
        <v>3770.83</v>
      </c>
      <c r="F174" s="5" t="str">
        <f>IF(Table2[[#This Row],[sales]]&gt;3000,"High Sales",IF(Table2[[#This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2" t="str">
        <f>IF(AND(Table2[[#This Row],[customer_type]]="MEMBER",OR(Table2[[#This Row],[payment_mode]]="UPI",Table2[[#This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577</v>
      </c>
      <c r="C175" s="30" t="s">
        <v>577</v>
      </c>
      <c r="D175" s="10" t="s">
        <v>14</v>
      </c>
      <c r="E175" s="10">
        <v>1251.98</v>
      </c>
      <c r="F175" s="5" t="str">
        <f>IF(Table2[[#This Row],[sales]]&gt;3000,"High Sales",IF(Table2[[#This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2" t="str">
        <f>IF(AND(Table2[[#This Row],[customer_type]]="MEMBER",OR(Table2[[#This Row],[payment_mode]]="UPI",Table2[[#This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31" t="s">
        <v>24</v>
      </c>
      <c r="D176" s="15" t="s">
        <v>14</v>
      </c>
      <c r="E176" s="15">
        <v>4404.05</v>
      </c>
      <c r="F176" s="5" t="str">
        <f>IF(Table2[[#This Row],[sales]]&gt;3000,"High Sales",IF(Table2[[#This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2" t="str">
        <f>IF(AND(Table2[[#This Row],[customer_type]]="MEMBER",OR(Table2[[#This Row],[payment_mode]]="UPI",Table2[[#This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30" t="s">
        <v>29</v>
      </c>
      <c r="D177" s="10" t="s">
        <v>19</v>
      </c>
      <c r="E177" s="10">
        <v>2703.93</v>
      </c>
      <c r="F177" s="5" t="str">
        <f>IF(Table2[[#This Row],[sales]]&gt;3000,"High Sales",IF(Table2[[#This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2" t="str">
        <f>IF(AND(Table2[[#This Row],[customer_type]]="MEMBER",OR(Table2[[#This Row],[payment_mode]]="UPI",Table2[[#This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29" t="s">
        <v>13</v>
      </c>
      <c r="D178" s="15" t="s">
        <v>34</v>
      </c>
      <c r="E178" s="15">
        <v>3057.15</v>
      </c>
      <c r="F178" s="5" t="str">
        <f>IF(Table2[[#This Row],[sales]]&gt;3000,"High Sales",IF(Table2[[#This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2" t="str">
        <f>IF(AND(Table2[[#This Row],[customer_type]]="MEMBER",OR(Table2[[#This Row],[payment_mode]]="UPI",Table2[[#This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577</v>
      </c>
      <c r="C179" s="30" t="s">
        <v>577</v>
      </c>
      <c r="D179" s="10" t="s">
        <v>34</v>
      </c>
      <c r="E179" s="10">
        <v>540.72</v>
      </c>
      <c r="F179" s="5" t="str">
        <f>IF(Table2[[#This Row],[sales]]&gt;3000,"High Sales",IF(Table2[[#This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2" t="str">
        <f>IF(AND(Table2[[#This Row],[customer_type]]="MEMBER",OR(Table2[[#This Row],[payment_mode]]="UPI",Table2[[#This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31" t="s">
        <v>24</v>
      </c>
      <c r="D180" s="15" t="s">
        <v>14</v>
      </c>
      <c r="E180" s="15">
        <v>1616.59</v>
      </c>
      <c r="F180" s="5" t="str">
        <f>IF(Table2[[#This Row],[sales]]&gt;3000,"High Sales",IF(Table2[[#This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2" t="str">
        <f>IF(AND(Table2[[#This Row],[customer_type]]="MEMBER",OR(Table2[[#This Row],[payment_mode]]="UPI",Table2[[#This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30" t="s">
        <v>29</v>
      </c>
      <c r="D181" s="10" t="s">
        <v>25</v>
      </c>
      <c r="E181" s="10">
        <v>2191</v>
      </c>
      <c r="F181" s="5" t="str">
        <f>IF(Table2[[#This Row],[sales]]&gt;3000,"High Sales",IF(Table2[[#This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2" t="str">
        <f>IF(AND(Table2[[#This Row],[customer_type]]="MEMBER",OR(Table2[[#This Row],[payment_mode]]="UPI",Table2[[#This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29" t="s">
        <v>13</v>
      </c>
      <c r="D182" s="15" t="s">
        <v>19</v>
      </c>
      <c r="E182" s="15">
        <v>2128.16</v>
      </c>
      <c r="F182" s="5" t="str">
        <f>IF(Table2[[#This Row],[sales]]&gt;3000,"High Sales",IF(Table2[[#This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2" t="str">
        <f>IF(AND(Table2[[#This Row],[customer_type]]="MEMBER",OR(Table2[[#This Row],[payment_mode]]="UPI",Table2[[#This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577</v>
      </c>
      <c r="C183" s="30" t="s">
        <v>577</v>
      </c>
      <c r="D183" s="10" t="s">
        <v>34</v>
      </c>
      <c r="E183" s="10">
        <v>3913.59</v>
      </c>
      <c r="F183" s="5" t="str">
        <f>IF(Table2[[#This Row],[sales]]&gt;3000,"High Sales",IF(Table2[[#This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2" t="str">
        <f>IF(AND(Table2[[#This Row],[customer_type]]="MEMBER",OR(Table2[[#This Row],[payment_mode]]="UPI",Table2[[#This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31" t="s">
        <v>24</v>
      </c>
      <c r="D184" s="15" t="s">
        <v>34</v>
      </c>
      <c r="E184" s="15">
        <v>1483.38</v>
      </c>
      <c r="F184" s="5" t="str">
        <f>IF(Table2[[#This Row],[sales]]&gt;3000,"High Sales",IF(Table2[[#This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2" t="str">
        <f>IF(AND(Table2[[#This Row],[customer_type]]="MEMBER",OR(Table2[[#This Row],[payment_mode]]="UPI",Table2[[#This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30" t="s">
        <v>29</v>
      </c>
      <c r="D185" s="10" t="s">
        <v>37</v>
      </c>
      <c r="E185" s="10">
        <v>992.34</v>
      </c>
      <c r="F185" s="5" t="str">
        <f>IF(Table2[[#This Row],[sales]]&gt;3000,"High Sales",IF(Table2[[#This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2" t="str">
        <f>IF(AND(Table2[[#This Row],[customer_type]]="MEMBER",OR(Table2[[#This Row],[payment_mode]]="UPI",Table2[[#This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29" t="s">
        <v>13</v>
      </c>
      <c r="D186" s="15" t="s">
        <v>14</v>
      </c>
      <c r="E186" s="15">
        <v>2954.82</v>
      </c>
      <c r="F186" s="5" t="str">
        <f>IF(Table2[[#This Row],[sales]]&gt;3000,"High Sales",IF(Table2[[#This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2" t="str">
        <f>IF(AND(Table2[[#This Row],[customer_type]]="MEMBER",OR(Table2[[#This Row],[payment_mode]]="UPI",Table2[[#This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577</v>
      </c>
      <c r="C187" s="30" t="s">
        <v>577</v>
      </c>
      <c r="D187" s="10" t="s">
        <v>25</v>
      </c>
      <c r="E187" s="10">
        <v>3113.57</v>
      </c>
      <c r="F187" s="5" t="str">
        <f>IF(Table2[[#This Row],[sales]]&gt;3000,"High Sales",IF(Table2[[#This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2" t="str">
        <f>IF(AND(Table2[[#This Row],[customer_type]]="MEMBER",OR(Table2[[#This Row],[payment_mode]]="UPI",Table2[[#This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31" t="s">
        <v>24</v>
      </c>
      <c r="D188" s="15" t="s">
        <v>19</v>
      </c>
      <c r="E188" s="15">
        <v>695.76</v>
      </c>
      <c r="F188" s="5" t="str">
        <f>IF(Table2[[#This Row],[sales]]&gt;3000,"High Sales",IF(Table2[[#This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2" t="str">
        <f>IF(AND(Table2[[#This Row],[customer_type]]="MEMBER",OR(Table2[[#This Row],[payment_mode]]="UPI",Table2[[#This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30" t="s">
        <v>29</v>
      </c>
      <c r="D189" s="10" t="s">
        <v>34</v>
      </c>
      <c r="E189" s="10">
        <v>112.1</v>
      </c>
      <c r="F189" s="5" t="str">
        <f>IF(Table2[[#This Row],[sales]]&gt;3000,"High Sales",IF(Table2[[#This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2" t="str">
        <f>IF(AND(Table2[[#This Row],[customer_type]]="MEMBER",OR(Table2[[#This Row],[payment_mode]]="UPI",Table2[[#This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29" t="s">
        <v>13</v>
      </c>
      <c r="D190" s="15" t="s">
        <v>37</v>
      </c>
      <c r="E190" s="15">
        <v>4596.4799999999996</v>
      </c>
      <c r="F190" s="5" t="str">
        <f>IF(Table2[[#This Row],[sales]]&gt;3000,"High Sales",IF(Table2[[#This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2" t="str">
        <f>IF(AND(Table2[[#This Row],[customer_type]]="MEMBER",OR(Table2[[#This Row],[payment_mode]]="UPI",Table2[[#This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577</v>
      </c>
      <c r="C191" s="30" t="s">
        <v>577</v>
      </c>
      <c r="D191" s="10" t="s">
        <v>14</v>
      </c>
      <c r="E191" s="10">
        <v>490.22</v>
      </c>
      <c r="F191" s="5" t="str">
        <f>IF(Table2[[#This Row],[sales]]&gt;3000,"High Sales",IF(Table2[[#This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2" t="str">
        <f>IF(AND(Table2[[#This Row],[customer_type]]="MEMBER",OR(Table2[[#This Row],[payment_mode]]="UPI",Table2[[#This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31" t="s">
        <v>24</v>
      </c>
      <c r="D192" s="15" t="s">
        <v>14</v>
      </c>
      <c r="E192" s="15">
        <v>4499.55</v>
      </c>
      <c r="F192" s="5" t="str">
        <f>IF(Table2[[#This Row],[sales]]&gt;3000,"High Sales",IF(Table2[[#This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2" t="str">
        <f>IF(AND(Table2[[#This Row],[customer_type]]="MEMBER",OR(Table2[[#This Row],[payment_mode]]="UPI",Table2[[#This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30" t="s">
        <v>29</v>
      </c>
      <c r="D193" s="10" t="s">
        <v>19</v>
      </c>
      <c r="E193" s="10">
        <v>2056.15</v>
      </c>
      <c r="F193" s="5" t="str">
        <f>IF(Table2[[#This Row],[sales]]&gt;3000,"High Sales",IF(Table2[[#This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2" t="str">
        <f>IF(AND(Table2[[#This Row],[customer_type]]="MEMBER",OR(Table2[[#This Row],[payment_mode]]="UPI",Table2[[#This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29" t="s">
        <v>13</v>
      </c>
      <c r="D194" s="15" t="s">
        <v>34</v>
      </c>
      <c r="E194" s="15">
        <v>3299.97</v>
      </c>
      <c r="F194" s="5" t="str">
        <f>IF(Table2[[#This Row],[sales]]&gt;3000,"High Sales",IF(Table2[[#This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2" t="str">
        <f>IF(AND(Table2[[#This Row],[customer_type]]="MEMBER",OR(Table2[[#This Row],[payment_mode]]="UPI",Table2[[#This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577</v>
      </c>
      <c r="C195" s="30" t="s">
        <v>577</v>
      </c>
      <c r="D195" s="10" t="s">
        <v>19</v>
      </c>
      <c r="E195" s="10">
        <v>1009.51</v>
      </c>
      <c r="F195" s="5" t="str">
        <f>IF(Table2[[#This Row],[sales]]&gt;3000,"High Sales",IF(Table2[[#This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2" t="str">
        <f>IF(AND(Table2[[#This Row],[customer_type]]="MEMBER",OR(Table2[[#This Row],[payment_mode]]="UPI",Table2[[#This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31" t="s">
        <v>24</v>
      </c>
      <c r="D196" s="15" t="s">
        <v>19</v>
      </c>
      <c r="E196" s="15">
        <v>4137.1899999999996</v>
      </c>
      <c r="F196" s="5" t="str">
        <f>IF(Table2[[#This Row],[sales]]&gt;3000,"High Sales",IF(Table2[[#This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2" t="str">
        <f>IF(AND(Table2[[#This Row],[customer_type]]="MEMBER",OR(Table2[[#This Row],[payment_mode]]="UPI",Table2[[#This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30" t="s">
        <v>29</v>
      </c>
      <c r="D197" s="10" t="s">
        <v>37</v>
      </c>
      <c r="E197" s="10">
        <v>982.95</v>
      </c>
      <c r="F197" s="5" t="str">
        <f>IF(Table2[[#This Row],[sales]]&gt;3000,"High Sales",IF(Table2[[#This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2" t="str">
        <f>IF(AND(Table2[[#This Row],[customer_type]]="MEMBER",OR(Table2[[#This Row],[payment_mode]]="UPI",Table2[[#This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29" t="s">
        <v>13</v>
      </c>
      <c r="D198" s="15" t="s">
        <v>14</v>
      </c>
      <c r="E198" s="15">
        <v>1993.89</v>
      </c>
      <c r="F198" s="5" t="str">
        <f>IF(Table2[[#This Row],[sales]]&gt;3000,"High Sales",IF(Table2[[#This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2" t="str">
        <f>IF(AND(Table2[[#This Row],[customer_type]]="MEMBER",OR(Table2[[#This Row],[payment_mode]]="UPI",Table2[[#This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577</v>
      </c>
      <c r="C199" s="30" t="s">
        <v>577</v>
      </c>
      <c r="D199" s="10" t="s">
        <v>25</v>
      </c>
      <c r="E199" s="10">
        <v>1266.33</v>
      </c>
      <c r="F199" s="5" t="str">
        <f>IF(Table2[[#This Row],[sales]]&gt;3000,"High Sales",IF(Table2[[#This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2" t="str">
        <f>IF(AND(Table2[[#This Row],[customer_type]]="MEMBER",OR(Table2[[#This Row],[payment_mode]]="UPI",Table2[[#This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31" t="s">
        <v>24</v>
      </c>
      <c r="D200" s="15" t="s">
        <v>14</v>
      </c>
      <c r="E200" s="15">
        <v>4203.78</v>
      </c>
      <c r="F200" s="5" t="str">
        <f>IF(Table2[[#This Row],[sales]]&gt;3000,"High Sales",IF(Table2[[#This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2" t="str">
        <f>IF(AND(Table2[[#This Row],[customer_type]]="MEMBER",OR(Table2[[#This Row],[payment_mode]]="UPI",Table2[[#This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30" t="s">
        <v>29</v>
      </c>
      <c r="D201" s="10" t="s">
        <v>14</v>
      </c>
      <c r="E201" s="10">
        <v>4305.8500000000004</v>
      </c>
      <c r="F201" s="5" t="str">
        <f>IF(Table2[[#This Row],[sales]]&gt;3000,"High Sales",IF(Table2[[#This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2" t="str">
        <f>IF(AND(Table2[[#This Row],[customer_type]]="MEMBER",OR(Table2[[#This Row],[payment_mode]]="UPI",Table2[[#This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29" t="s">
        <v>13</v>
      </c>
      <c r="D202" s="15" t="s">
        <v>37</v>
      </c>
      <c r="E202" s="15">
        <v>1922.94</v>
      </c>
      <c r="F202" s="5" t="str">
        <f>IF(Table2[[#This Row],[sales]]&gt;3000,"High Sales",IF(Table2[[#This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2" t="str">
        <f>IF(AND(Table2[[#This Row],[customer_type]]="MEMBER",OR(Table2[[#This Row],[payment_mode]]="UPI",Table2[[#This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577</v>
      </c>
      <c r="C203" s="30" t="s">
        <v>577</v>
      </c>
      <c r="D203" s="10" t="s">
        <v>25</v>
      </c>
      <c r="E203" s="10">
        <v>1606.15</v>
      </c>
      <c r="F203" s="5" t="str">
        <f>IF(Table2[[#This Row],[sales]]&gt;3000,"High Sales",IF(Table2[[#This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2" t="str">
        <f>IF(AND(Table2[[#This Row],[customer_type]]="MEMBER",OR(Table2[[#This Row],[payment_mode]]="UPI",Table2[[#This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31" t="s">
        <v>24</v>
      </c>
      <c r="D204" s="15" t="s">
        <v>34</v>
      </c>
      <c r="E204" s="15">
        <v>3890.47</v>
      </c>
      <c r="F204" s="5" t="str">
        <f>IF(Table2[[#This Row],[sales]]&gt;3000,"High Sales",IF(Table2[[#This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2" t="str">
        <f>IF(AND(Table2[[#This Row],[customer_type]]="MEMBER",OR(Table2[[#This Row],[payment_mode]]="UPI",Table2[[#This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30" t="s">
        <v>29</v>
      </c>
      <c r="D205" s="10" t="s">
        <v>25</v>
      </c>
      <c r="E205" s="10">
        <v>4404.71</v>
      </c>
      <c r="F205" s="5" t="str">
        <f>IF(Table2[[#This Row],[sales]]&gt;3000,"High Sales",IF(Table2[[#This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2" t="str">
        <f>IF(AND(Table2[[#This Row],[customer_type]]="MEMBER",OR(Table2[[#This Row],[payment_mode]]="UPI",Table2[[#This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29" t="s">
        <v>13</v>
      </c>
      <c r="D206" s="15" t="s">
        <v>34</v>
      </c>
      <c r="E206" s="15">
        <v>3157.7</v>
      </c>
      <c r="F206" s="5" t="str">
        <f>IF(Table2[[#This Row],[sales]]&gt;3000,"High Sales",IF(Table2[[#This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2" t="str">
        <f>IF(AND(Table2[[#This Row],[customer_type]]="MEMBER",OR(Table2[[#This Row],[payment_mode]]="UPI",Table2[[#This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577</v>
      </c>
      <c r="C207" s="30" t="s">
        <v>577</v>
      </c>
      <c r="D207" s="10" t="s">
        <v>25</v>
      </c>
      <c r="E207" s="10">
        <v>4644.28</v>
      </c>
      <c r="F207" s="5" t="str">
        <f>IF(Table2[[#This Row],[sales]]&gt;3000,"High Sales",IF(Table2[[#This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2" t="str">
        <f>IF(AND(Table2[[#This Row],[customer_type]]="MEMBER",OR(Table2[[#This Row],[payment_mode]]="UPI",Table2[[#This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31" t="s">
        <v>24</v>
      </c>
      <c r="D208" s="15" t="s">
        <v>19</v>
      </c>
      <c r="E208" s="15">
        <v>1976.91</v>
      </c>
      <c r="F208" s="5" t="str">
        <f>IF(Table2[[#This Row],[sales]]&gt;3000,"High Sales",IF(Table2[[#This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2" t="str">
        <f>IF(AND(Table2[[#This Row],[customer_type]]="MEMBER",OR(Table2[[#This Row],[payment_mode]]="UPI",Table2[[#This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30" t="s">
        <v>29</v>
      </c>
      <c r="D209" s="10" t="s">
        <v>25</v>
      </c>
      <c r="E209" s="10">
        <v>844.24</v>
      </c>
      <c r="F209" s="5" t="str">
        <f>IF(Table2[[#This Row],[sales]]&gt;3000,"High Sales",IF(Table2[[#This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2" t="str">
        <f>IF(AND(Table2[[#This Row],[customer_type]]="MEMBER",OR(Table2[[#This Row],[payment_mode]]="UPI",Table2[[#This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29" t="s">
        <v>13</v>
      </c>
      <c r="D210" s="15" t="s">
        <v>37</v>
      </c>
      <c r="E210" s="15">
        <v>980.25</v>
      </c>
      <c r="F210" s="5" t="str">
        <f>IF(Table2[[#This Row],[sales]]&gt;3000,"High Sales",IF(Table2[[#This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2" t="str">
        <f>IF(AND(Table2[[#This Row],[customer_type]]="MEMBER",OR(Table2[[#This Row],[payment_mode]]="UPI",Table2[[#This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577</v>
      </c>
      <c r="C211" s="30" t="s">
        <v>577</v>
      </c>
      <c r="D211" s="10" t="s">
        <v>34</v>
      </c>
      <c r="E211" s="10">
        <v>3382.18</v>
      </c>
      <c r="F211" s="5" t="str">
        <f>IF(Table2[[#This Row],[sales]]&gt;3000,"High Sales",IF(Table2[[#This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2" t="str">
        <f>IF(AND(Table2[[#This Row],[customer_type]]="MEMBER",OR(Table2[[#This Row],[payment_mode]]="UPI",Table2[[#This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31" t="s">
        <v>24</v>
      </c>
      <c r="D212" s="15" t="s">
        <v>14</v>
      </c>
      <c r="E212" s="15">
        <v>2096.88</v>
      </c>
      <c r="F212" s="5" t="str">
        <f>IF(Table2[[#This Row],[sales]]&gt;3000,"High Sales",IF(Table2[[#This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2" t="str">
        <f>IF(AND(Table2[[#This Row],[customer_type]]="MEMBER",OR(Table2[[#This Row],[payment_mode]]="UPI",Table2[[#This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30" t="s">
        <v>29</v>
      </c>
      <c r="D213" s="10" t="s">
        <v>37</v>
      </c>
      <c r="E213" s="10">
        <v>865.94</v>
      </c>
      <c r="F213" s="5" t="str">
        <f>IF(Table2[[#This Row],[sales]]&gt;3000,"High Sales",IF(Table2[[#This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2" t="str">
        <f>IF(AND(Table2[[#This Row],[customer_type]]="MEMBER",OR(Table2[[#This Row],[payment_mode]]="UPI",Table2[[#This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29" t="s">
        <v>13</v>
      </c>
      <c r="D214" s="15" t="s">
        <v>34</v>
      </c>
      <c r="E214" s="15">
        <v>1531.91</v>
      </c>
      <c r="F214" s="5" t="str">
        <f>IF(Table2[[#This Row],[sales]]&gt;3000,"High Sales",IF(Table2[[#This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2" t="str">
        <f>IF(AND(Table2[[#This Row],[customer_type]]="MEMBER",OR(Table2[[#This Row],[payment_mode]]="UPI",Table2[[#This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577</v>
      </c>
      <c r="C215" s="30" t="s">
        <v>577</v>
      </c>
      <c r="D215" s="10" t="s">
        <v>34</v>
      </c>
      <c r="E215" s="10">
        <v>2699.96</v>
      </c>
      <c r="F215" s="5" t="str">
        <f>IF(Table2[[#This Row],[sales]]&gt;3000,"High Sales",IF(Table2[[#This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2" t="str">
        <f>IF(AND(Table2[[#This Row],[customer_type]]="MEMBER",OR(Table2[[#This Row],[payment_mode]]="UPI",Table2[[#This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31" t="s">
        <v>24</v>
      </c>
      <c r="D216" s="15" t="s">
        <v>14</v>
      </c>
      <c r="E216" s="15">
        <v>695.08</v>
      </c>
      <c r="F216" s="5" t="str">
        <f>IF(Table2[[#This Row],[sales]]&gt;3000,"High Sales",IF(Table2[[#This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2" t="str">
        <f>IF(AND(Table2[[#This Row],[customer_type]]="MEMBER",OR(Table2[[#This Row],[payment_mode]]="UPI",Table2[[#This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30" t="s">
        <v>29</v>
      </c>
      <c r="D217" s="10" t="s">
        <v>19</v>
      </c>
      <c r="E217" s="10">
        <v>116.87</v>
      </c>
      <c r="F217" s="5" t="str">
        <f>IF(Table2[[#This Row],[sales]]&gt;3000,"High Sales",IF(Table2[[#This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2" t="str">
        <f>IF(AND(Table2[[#This Row],[customer_type]]="MEMBER",OR(Table2[[#This Row],[payment_mode]]="UPI",Table2[[#This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29" t="s">
        <v>13</v>
      </c>
      <c r="D218" s="15" t="s">
        <v>37</v>
      </c>
      <c r="E218" s="15">
        <v>4594.76</v>
      </c>
      <c r="F218" s="5" t="str">
        <f>IF(Table2[[#This Row],[sales]]&gt;3000,"High Sales",IF(Table2[[#This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2" t="str">
        <f>IF(AND(Table2[[#This Row],[customer_type]]="MEMBER",OR(Table2[[#This Row],[payment_mode]]="UPI",Table2[[#This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577</v>
      </c>
      <c r="C219" s="30" t="s">
        <v>577</v>
      </c>
      <c r="D219" s="10" t="s">
        <v>14</v>
      </c>
      <c r="E219" s="10">
        <v>1593.82</v>
      </c>
      <c r="F219" s="5" t="str">
        <f>IF(Table2[[#This Row],[sales]]&gt;3000,"High Sales",IF(Table2[[#This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2" t="str">
        <f>IF(AND(Table2[[#This Row],[customer_type]]="MEMBER",OR(Table2[[#This Row],[payment_mode]]="UPI",Table2[[#This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31" t="s">
        <v>24</v>
      </c>
      <c r="D220" s="15" t="s">
        <v>14</v>
      </c>
      <c r="E220" s="15">
        <v>1185.3399999999999</v>
      </c>
      <c r="F220" s="5" t="str">
        <f>IF(Table2[[#This Row],[sales]]&gt;3000,"High Sales",IF(Table2[[#This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2" t="str">
        <f>IF(AND(Table2[[#This Row],[customer_type]]="MEMBER",OR(Table2[[#This Row],[payment_mode]]="UPI",Table2[[#This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30" t="s">
        <v>29</v>
      </c>
      <c r="D221" s="10" t="s">
        <v>19</v>
      </c>
      <c r="E221" s="10">
        <v>3522.56</v>
      </c>
      <c r="F221" s="5" t="str">
        <f>IF(Table2[[#This Row],[sales]]&gt;3000,"High Sales",IF(Table2[[#This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2" t="str">
        <f>IF(AND(Table2[[#This Row],[customer_type]]="MEMBER",OR(Table2[[#This Row],[payment_mode]]="UPI",Table2[[#This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29" t="s">
        <v>13</v>
      </c>
      <c r="D222" s="15" t="s">
        <v>37</v>
      </c>
      <c r="E222" s="15">
        <v>4281.67</v>
      </c>
      <c r="F222" s="5" t="str">
        <f>IF(Table2[[#This Row],[sales]]&gt;3000,"High Sales",IF(Table2[[#This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2" t="str">
        <f>IF(AND(Table2[[#This Row],[customer_type]]="MEMBER",OR(Table2[[#This Row],[payment_mode]]="UPI",Table2[[#This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577</v>
      </c>
      <c r="C223" s="30" t="s">
        <v>577</v>
      </c>
      <c r="D223" s="10" t="s">
        <v>14</v>
      </c>
      <c r="E223" s="10">
        <v>3198.17</v>
      </c>
      <c r="F223" s="5" t="str">
        <f>IF(Table2[[#This Row],[sales]]&gt;3000,"High Sales",IF(Table2[[#This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2" t="str">
        <f>IF(AND(Table2[[#This Row],[customer_type]]="MEMBER",OR(Table2[[#This Row],[payment_mode]]="UPI",Table2[[#This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31" t="s">
        <v>24</v>
      </c>
      <c r="D224" s="15" t="s">
        <v>19</v>
      </c>
      <c r="E224" s="15">
        <v>1346.97</v>
      </c>
      <c r="F224" s="5" t="str">
        <f>IF(Table2[[#This Row],[sales]]&gt;3000,"High Sales",IF(Table2[[#This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2" t="str">
        <f>IF(AND(Table2[[#This Row],[customer_type]]="MEMBER",OR(Table2[[#This Row],[payment_mode]]="UPI",Table2[[#This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30" t="s">
        <v>29</v>
      </c>
      <c r="D225" s="10" t="s">
        <v>37</v>
      </c>
      <c r="E225" s="10">
        <v>4322.0200000000004</v>
      </c>
      <c r="F225" s="5" t="str">
        <f>IF(Table2[[#This Row],[sales]]&gt;3000,"High Sales",IF(Table2[[#This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2" t="str">
        <f>IF(AND(Table2[[#This Row],[customer_type]]="MEMBER",OR(Table2[[#This Row],[payment_mode]]="UPI",Table2[[#This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29" t="s">
        <v>13</v>
      </c>
      <c r="D226" s="15" t="s">
        <v>25</v>
      </c>
      <c r="E226" s="15">
        <v>2601.09</v>
      </c>
      <c r="F226" s="5" t="str">
        <f>IF(Table2[[#This Row],[sales]]&gt;3000,"High Sales",IF(Table2[[#This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2" t="str">
        <f>IF(AND(Table2[[#This Row],[customer_type]]="MEMBER",OR(Table2[[#This Row],[payment_mode]]="UPI",Table2[[#This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577</v>
      </c>
      <c r="C227" s="30" t="s">
        <v>577</v>
      </c>
      <c r="D227" s="10" t="s">
        <v>34</v>
      </c>
      <c r="E227" s="10">
        <v>1967.83</v>
      </c>
      <c r="F227" s="5" t="str">
        <f>IF(Table2[[#This Row],[sales]]&gt;3000,"High Sales",IF(Table2[[#This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2" t="str">
        <f>IF(AND(Table2[[#This Row],[customer_type]]="MEMBER",OR(Table2[[#This Row],[payment_mode]]="UPI",Table2[[#This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31" t="s">
        <v>24</v>
      </c>
      <c r="D228" s="15" t="s">
        <v>19</v>
      </c>
      <c r="E228" s="15">
        <v>3063.16</v>
      </c>
      <c r="F228" s="5" t="str">
        <f>IF(Table2[[#This Row],[sales]]&gt;3000,"High Sales",IF(Table2[[#This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2" t="str">
        <f>IF(AND(Table2[[#This Row],[customer_type]]="MEMBER",OR(Table2[[#This Row],[payment_mode]]="UPI",Table2[[#This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30" t="s">
        <v>29</v>
      </c>
      <c r="D229" s="10" t="s">
        <v>34</v>
      </c>
      <c r="E229" s="10">
        <v>3533</v>
      </c>
      <c r="F229" s="5" t="str">
        <f>IF(Table2[[#This Row],[sales]]&gt;3000,"High Sales",IF(Table2[[#This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2" t="str">
        <f>IF(AND(Table2[[#This Row],[customer_type]]="MEMBER",OR(Table2[[#This Row],[payment_mode]]="UPI",Table2[[#This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29" t="s">
        <v>13</v>
      </c>
      <c r="D230" s="15" t="s">
        <v>25</v>
      </c>
      <c r="E230" s="15">
        <v>3009.77</v>
      </c>
      <c r="F230" s="5" t="str">
        <f>IF(Table2[[#This Row],[sales]]&gt;3000,"High Sales",IF(Table2[[#This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2" t="str">
        <f>IF(AND(Table2[[#This Row],[customer_type]]="MEMBER",OR(Table2[[#This Row],[payment_mode]]="UPI",Table2[[#This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577</v>
      </c>
      <c r="C231" s="30" t="s">
        <v>577</v>
      </c>
      <c r="D231" s="10" t="s">
        <v>14</v>
      </c>
      <c r="E231" s="10">
        <v>4609.2</v>
      </c>
      <c r="F231" s="5" t="str">
        <f>IF(Table2[[#This Row],[sales]]&gt;3000,"High Sales",IF(Table2[[#This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2" t="str">
        <f>IF(AND(Table2[[#This Row],[customer_type]]="MEMBER",OR(Table2[[#This Row],[payment_mode]]="UPI",Table2[[#This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31" t="s">
        <v>24</v>
      </c>
      <c r="D232" s="15" t="s">
        <v>14</v>
      </c>
      <c r="E232" s="15">
        <v>3177.29</v>
      </c>
      <c r="F232" s="5" t="str">
        <f>IF(Table2[[#This Row],[sales]]&gt;3000,"High Sales",IF(Table2[[#This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2" t="str">
        <f>IF(AND(Table2[[#This Row],[customer_type]]="MEMBER",OR(Table2[[#This Row],[payment_mode]]="UPI",Table2[[#This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30" t="s">
        <v>29</v>
      </c>
      <c r="D233" s="10" t="s">
        <v>37</v>
      </c>
      <c r="E233" s="10">
        <v>4405.05</v>
      </c>
      <c r="F233" s="5" t="str">
        <f>IF(Table2[[#This Row],[sales]]&gt;3000,"High Sales",IF(Table2[[#This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2" t="str">
        <f>IF(AND(Table2[[#This Row],[customer_type]]="MEMBER",OR(Table2[[#This Row],[payment_mode]]="UPI",Table2[[#This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29" t="s">
        <v>13</v>
      </c>
      <c r="D234" s="15" t="s">
        <v>19</v>
      </c>
      <c r="E234" s="15">
        <v>2976.1</v>
      </c>
      <c r="F234" s="5" t="str">
        <f>IF(Table2[[#This Row],[sales]]&gt;3000,"High Sales",IF(Table2[[#This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2" t="str">
        <f>IF(AND(Table2[[#This Row],[customer_type]]="MEMBER",OR(Table2[[#This Row],[payment_mode]]="UPI",Table2[[#This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577</v>
      </c>
      <c r="C235" s="30" t="s">
        <v>577</v>
      </c>
      <c r="D235" s="10" t="s">
        <v>19</v>
      </c>
      <c r="E235" s="10">
        <v>1715.43</v>
      </c>
      <c r="F235" s="5" t="str">
        <f>IF(Table2[[#This Row],[sales]]&gt;3000,"High Sales",IF(Table2[[#This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2" t="str">
        <f>IF(AND(Table2[[#This Row],[customer_type]]="MEMBER",OR(Table2[[#This Row],[payment_mode]]="UPI",Table2[[#This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31" t="s">
        <v>24</v>
      </c>
      <c r="D236" s="15" t="s">
        <v>37</v>
      </c>
      <c r="E236" s="15">
        <v>2708.25</v>
      </c>
      <c r="F236" s="5" t="str">
        <f>IF(Table2[[#This Row],[sales]]&gt;3000,"High Sales",IF(Table2[[#This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2" t="str">
        <f>IF(AND(Table2[[#This Row],[customer_type]]="MEMBER",OR(Table2[[#This Row],[payment_mode]]="UPI",Table2[[#This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30" t="s">
        <v>29</v>
      </c>
      <c r="D237" s="10" t="s">
        <v>34</v>
      </c>
      <c r="E237" s="10">
        <v>523.04999999999995</v>
      </c>
      <c r="F237" s="5" t="str">
        <f>IF(Table2[[#This Row],[sales]]&gt;3000,"High Sales",IF(Table2[[#This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2" t="str">
        <f>IF(AND(Table2[[#This Row],[customer_type]]="MEMBER",OR(Table2[[#This Row],[payment_mode]]="UPI",Table2[[#This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29" t="s">
        <v>13</v>
      </c>
      <c r="D238" s="15" t="s">
        <v>14</v>
      </c>
      <c r="E238" s="15">
        <v>1227.8599999999999</v>
      </c>
      <c r="F238" s="5" t="str">
        <f>IF(Table2[[#This Row],[sales]]&gt;3000,"High Sales",IF(Table2[[#This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2" t="str">
        <f>IF(AND(Table2[[#This Row],[customer_type]]="MEMBER",OR(Table2[[#This Row],[payment_mode]]="UPI",Table2[[#This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577</v>
      </c>
      <c r="C239" s="30" t="s">
        <v>577</v>
      </c>
      <c r="D239" s="10" t="s">
        <v>14</v>
      </c>
      <c r="E239" s="10">
        <v>3854.54</v>
      </c>
      <c r="F239" s="5" t="str">
        <f>IF(Table2[[#This Row],[sales]]&gt;3000,"High Sales",IF(Table2[[#This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2" t="str">
        <f>IF(AND(Table2[[#This Row],[customer_type]]="MEMBER",OR(Table2[[#This Row],[payment_mode]]="UPI",Table2[[#This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31" t="s">
        <v>24</v>
      </c>
      <c r="D240" s="15" t="s">
        <v>19</v>
      </c>
      <c r="E240" s="15">
        <v>3341.23</v>
      </c>
      <c r="F240" s="5" t="str">
        <f>IF(Table2[[#This Row],[sales]]&gt;3000,"High Sales",IF(Table2[[#This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2" t="str">
        <f>IF(AND(Table2[[#This Row],[customer_type]]="MEMBER",OR(Table2[[#This Row],[payment_mode]]="UPI",Table2[[#This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30" t="s">
        <v>29</v>
      </c>
      <c r="D241" s="10" t="s">
        <v>19</v>
      </c>
      <c r="E241" s="10">
        <v>915.94</v>
      </c>
      <c r="F241" s="5" t="str">
        <f>IF(Table2[[#This Row],[sales]]&gt;3000,"High Sales",IF(Table2[[#This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2" t="str">
        <f>IF(AND(Table2[[#This Row],[customer_type]]="MEMBER",OR(Table2[[#This Row],[payment_mode]]="UPI",Table2[[#This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29" t="s">
        <v>13</v>
      </c>
      <c r="D242" s="15" t="s">
        <v>37</v>
      </c>
      <c r="E242" s="15">
        <v>2246.27</v>
      </c>
      <c r="F242" s="5" t="str">
        <f>IF(Table2[[#This Row],[sales]]&gt;3000,"High Sales",IF(Table2[[#This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2" t="str">
        <f>IF(AND(Table2[[#This Row],[customer_type]]="MEMBER",OR(Table2[[#This Row],[payment_mode]]="UPI",Table2[[#This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577</v>
      </c>
      <c r="C243" s="30" t="s">
        <v>577</v>
      </c>
      <c r="D243" s="10" t="s">
        <v>25</v>
      </c>
      <c r="E243" s="10">
        <v>795.76</v>
      </c>
      <c r="F243" s="5" t="str">
        <f>IF(Table2[[#This Row],[sales]]&gt;3000,"High Sales",IF(Table2[[#This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2" t="str">
        <f>IF(AND(Table2[[#This Row],[customer_type]]="MEMBER",OR(Table2[[#This Row],[payment_mode]]="UPI",Table2[[#This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31" t="s">
        <v>24</v>
      </c>
      <c r="D244" s="15" t="s">
        <v>34</v>
      </c>
      <c r="E244" s="15">
        <v>4293.51</v>
      </c>
      <c r="F244" s="5" t="str">
        <f>IF(Table2[[#This Row],[sales]]&gt;3000,"High Sales",IF(Table2[[#This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2" t="str">
        <f>IF(AND(Table2[[#This Row],[customer_type]]="MEMBER",OR(Table2[[#This Row],[payment_mode]]="UPI",Table2[[#This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30" t="s">
        <v>29</v>
      </c>
      <c r="D245" s="10" t="s">
        <v>25</v>
      </c>
      <c r="E245" s="10">
        <v>634.92999999999995</v>
      </c>
      <c r="F245" s="5" t="str">
        <f>IF(Table2[[#This Row],[sales]]&gt;3000,"High Sales",IF(Table2[[#This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2" t="str">
        <f>IF(AND(Table2[[#This Row],[customer_type]]="MEMBER",OR(Table2[[#This Row],[payment_mode]]="UPI",Table2[[#This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29" t="s">
        <v>13</v>
      </c>
      <c r="D246" s="15" t="s">
        <v>25</v>
      </c>
      <c r="E246" s="15">
        <v>3305.75</v>
      </c>
      <c r="F246" s="5" t="str">
        <f>IF(Table2[[#This Row],[sales]]&gt;3000,"High Sales",IF(Table2[[#This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2" t="str">
        <f>IF(AND(Table2[[#This Row],[customer_type]]="MEMBER",OR(Table2[[#This Row],[payment_mode]]="UPI",Table2[[#This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577</v>
      </c>
      <c r="C247" s="30" t="s">
        <v>577</v>
      </c>
      <c r="D247" s="10" t="s">
        <v>19</v>
      </c>
      <c r="E247" s="10">
        <v>3074.3</v>
      </c>
      <c r="F247" s="5" t="str">
        <f>IF(Table2[[#This Row],[sales]]&gt;3000,"High Sales",IF(Table2[[#This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2" t="str">
        <f>IF(AND(Table2[[#This Row],[customer_type]]="MEMBER",OR(Table2[[#This Row],[payment_mode]]="UPI",Table2[[#This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31" t="s">
        <v>24</v>
      </c>
      <c r="D248" s="15" t="s">
        <v>19</v>
      </c>
      <c r="E248" s="15">
        <v>2416.61</v>
      </c>
      <c r="F248" s="5" t="str">
        <f>IF(Table2[[#This Row],[sales]]&gt;3000,"High Sales",IF(Table2[[#This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2" t="str">
        <f>IF(AND(Table2[[#This Row],[customer_type]]="MEMBER",OR(Table2[[#This Row],[payment_mode]]="UPI",Table2[[#This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30" t="s">
        <v>29</v>
      </c>
      <c r="D249" s="10" t="s">
        <v>19</v>
      </c>
      <c r="E249" s="10">
        <v>1463.35</v>
      </c>
      <c r="F249" s="5" t="str">
        <f>IF(Table2[[#This Row],[sales]]&gt;3000,"High Sales",IF(Table2[[#This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2" t="str">
        <f>IF(AND(Table2[[#This Row],[customer_type]]="MEMBER",OR(Table2[[#This Row],[payment_mode]]="UPI",Table2[[#This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29" t="s">
        <v>13</v>
      </c>
      <c r="D250" s="15" t="s">
        <v>25</v>
      </c>
      <c r="E250" s="15">
        <v>2079.39</v>
      </c>
      <c r="F250" s="5" t="str">
        <f>IF(Table2[[#This Row],[sales]]&gt;3000,"High Sales",IF(Table2[[#This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2" t="str">
        <f>IF(AND(Table2[[#This Row],[customer_type]]="MEMBER",OR(Table2[[#This Row],[payment_mode]]="UPI",Table2[[#This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577</v>
      </c>
      <c r="C251" s="30" t="s">
        <v>577</v>
      </c>
      <c r="D251" s="10" t="s">
        <v>34</v>
      </c>
      <c r="E251" s="10">
        <v>4051.32</v>
      </c>
      <c r="F251" s="5" t="str">
        <f>IF(Table2[[#This Row],[sales]]&gt;3000,"High Sales",IF(Table2[[#This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2" t="str">
        <f>IF(AND(Table2[[#This Row],[customer_type]]="MEMBER",OR(Table2[[#This Row],[payment_mode]]="UPI",Table2[[#This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31" t="s">
        <v>24</v>
      </c>
      <c r="D252" s="15" t="s">
        <v>19</v>
      </c>
      <c r="E252" s="15">
        <v>3831.6</v>
      </c>
      <c r="F252" s="5" t="str">
        <f>IF(Table2[[#This Row],[sales]]&gt;3000,"High Sales",IF(Table2[[#This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2" t="str">
        <f>IF(AND(Table2[[#This Row],[customer_type]]="MEMBER",OR(Table2[[#This Row],[payment_mode]]="UPI",Table2[[#This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30" t="s">
        <v>29</v>
      </c>
      <c r="D253" s="10" t="s">
        <v>14</v>
      </c>
      <c r="E253" s="10">
        <v>3720.16</v>
      </c>
      <c r="F253" s="5" t="str">
        <f>IF(Table2[[#This Row],[sales]]&gt;3000,"High Sales",IF(Table2[[#This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2" t="str">
        <f>IF(AND(Table2[[#This Row],[customer_type]]="MEMBER",OR(Table2[[#This Row],[payment_mode]]="UPI",Table2[[#This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29" t="s">
        <v>13</v>
      </c>
      <c r="D254" s="15" t="s">
        <v>34</v>
      </c>
      <c r="E254" s="15">
        <v>3774.14</v>
      </c>
      <c r="F254" s="5" t="str">
        <f>IF(Table2[[#This Row],[sales]]&gt;3000,"High Sales",IF(Table2[[#This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2" t="str">
        <f>IF(AND(Table2[[#This Row],[customer_type]]="MEMBER",OR(Table2[[#This Row],[payment_mode]]="UPI",Table2[[#This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577</v>
      </c>
      <c r="C255" s="30" t="s">
        <v>577</v>
      </c>
      <c r="D255" s="10" t="s">
        <v>14</v>
      </c>
      <c r="E255" s="10">
        <v>805.04</v>
      </c>
      <c r="F255" s="5" t="str">
        <f>IF(Table2[[#This Row],[sales]]&gt;3000,"High Sales",IF(Table2[[#This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2" t="str">
        <f>IF(AND(Table2[[#This Row],[customer_type]]="MEMBER",OR(Table2[[#This Row],[payment_mode]]="UPI",Table2[[#This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31" t="s">
        <v>24</v>
      </c>
      <c r="D256" s="15" t="s">
        <v>34</v>
      </c>
      <c r="E256" s="15">
        <v>585.57000000000005</v>
      </c>
      <c r="F256" s="5" t="str">
        <f>IF(Table2[[#This Row],[sales]]&gt;3000,"High Sales",IF(Table2[[#This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2" t="str">
        <f>IF(AND(Table2[[#This Row],[customer_type]]="MEMBER",OR(Table2[[#This Row],[payment_mode]]="UPI",Table2[[#This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30" t="s">
        <v>29</v>
      </c>
      <c r="D257" s="10" t="s">
        <v>19</v>
      </c>
      <c r="E257" s="10">
        <v>4321.34</v>
      </c>
      <c r="F257" s="5" t="str">
        <f>IF(Table2[[#This Row],[sales]]&gt;3000,"High Sales",IF(Table2[[#This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2" t="str">
        <f>IF(AND(Table2[[#This Row],[customer_type]]="MEMBER",OR(Table2[[#This Row],[payment_mode]]="UPI",Table2[[#This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29" t="s">
        <v>13</v>
      </c>
      <c r="D258" s="15" t="s">
        <v>37</v>
      </c>
      <c r="E258" s="15">
        <v>4202.16</v>
      </c>
      <c r="F258" s="5" t="str">
        <f>IF(Table2[[#This Row],[sales]]&gt;3000,"High Sales",IF(Table2[[#This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2" t="str">
        <f>IF(AND(Table2[[#This Row],[customer_type]]="MEMBER",OR(Table2[[#This Row],[payment_mode]]="UPI",Table2[[#This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577</v>
      </c>
      <c r="C259" s="30" t="s">
        <v>577</v>
      </c>
      <c r="D259" s="10" t="s">
        <v>19</v>
      </c>
      <c r="E259" s="10">
        <v>3438.46</v>
      </c>
      <c r="F259" s="5" t="str">
        <f>IF(Table2[[#This Row],[sales]]&gt;3000,"High Sales",IF(Table2[[#This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2" t="str">
        <f>IF(AND(Table2[[#This Row],[customer_type]]="MEMBER",OR(Table2[[#This Row],[payment_mode]]="UPI",Table2[[#This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31" t="s">
        <v>24</v>
      </c>
      <c r="D260" s="15" t="s">
        <v>25</v>
      </c>
      <c r="E260" s="15">
        <v>3068.94</v>
      </c>
      <c r="F260" s="5" t="str">
        <f>IF(Table2[[#This Row],[sales]]&gt;3000,"High Sales",IF(Table2[[#This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2" t="str">
        <f>IF(AND(Table2[[#This Row],[customer_type]]="MEMBER",OR(Table2[[#This Row],[payment_mode]]="UPI",Table2[[#This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30" t="s">
        <v>29</v>
      </c>
      <c r="D261" s="10" t="s">
        <v>25</v>
      </c>
      <c r="E261" s="10">
        <v>1897.67</v>
      </c>
      <c r="F261" s="5" t="str">
        <f>IF(Table2[[#This Row],[sales]]&gt;3000,"High Sales",IF(Table2[[#This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2" t="str">
        <f>IF(AND(Table2[[#This Row],[customer_type]]="MEMBER",OR(Table2[[#This Row],[payment_mode]]="UPI",Table2[[#This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29" t="s">
        <v>13</v>
      </c>
      <c r="D262" s="15" t="s">
        <v>34</v>
      </c>
      <c r="E262" s="15">
        <v>1198</v>
      </c>
      <c r="F262" s="5" t="str">
        <f>IF(Table2[[#This Row],[sales]]&gt;3000,"High Sales",IF(Table2[[#This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2" t="str">
        <f>IF(AND(Table2[[#This Row],[customer_type]]="MEMBER",OR(Table2[[#This Row],[payment_mode]]="UPI",Table2[[#This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577</v>
      </c>
      <c r="C263" s="30" t="s">
        <v>577</v>
      </c>
      <c r="D263" s="10" t="s">
        <v>25</v>
      </c>
      <c r="E263" s="10">
        <v>3371.52</v>
      </c>
      <c r="F263" s="5" t="str">
        <f>IF(Table2[[#This Row],[sales]]&gt;3000,"High Sales",IF(Table2[[#This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2" t="str">
        <f>IF(AND(Table2[[#This Row],[customer_type]]="MEMBER",OR(Table2[[#This Row],[payment_mode]]="UPI",Table2[[#This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31" t="s">
        <v>24</v>
      </c>
      <c r="D264" s="15" t="s">
        <v>19</v>
      </c>
      <c r="E264" s="15">
        <v>4573.87</v>
      </c>
      <c r="F264" s="5" t="str">
        <f>IF(Table2[[#This Row],[sales]]&gt;3000,"High Sales",IF(Table2[[#This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2" t="str">
        <f>IF(AND(Table2[[#This Row],[customer_type]]="MEMBER",OR(Table2[[#This Row],[payment_mode]]="UPI",Table2[[#This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30" t="s">
        <v>29</v>
      </c>
      <c r="D265" s="10" t="s">
        <v>14</v>
      </c>
      <c r="E265" s="10">
        <v>2241.2800000000002</v>
      </c>
      <c r="F265" s="5" t="str">
        <f>IF(Table2[[#This Row],[sales]]&gt;3000,"High Sales",IF(Table2[[#This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2" t="str">
        <f>IF(AND(Table2[[#This Row],[customer_type]]="MEMBER",OR(Table2[[#This Row],[payment_mode]]="UPI",Table2[[#This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29" t="s">
        <v>13</v>
      </c>
      <c r="D266" s="15" t="s">
        <v>19</v>
      </c>
      <c r="E266" s="15">
        <v>1585.74</v>
      </c>
      <c r="F266" s="5" t="str">
        <f>IF(Table2[[#This Row],[sales]]&gt;3000,"High Sales",IF(Table2[[#This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2" t="str">
        <f>IF(AND(Table2[[#This Row],[customer_type]]="MEMBER",OR(Table2[[#This Row],[payment_mode]]="UPI",Table2[[#This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577</v>
      </c>
      <c r="C267" s="30" t="s">
        <v>577</v>
      </c>
      <c r="D267" s="10" t="s">
        <v>34</v>
      </c>
      <c r="E267" s="10">
        <v>1426.63</v>
      </c>
      <c r="F267" s="5" t="str">
        <f>IF(Table2[[#This Row],[sales]]&gt;3000,"High Sales",IF(Table2[[#This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2" t="str">
        <f>IF(AND(Table2[[#This Row],[customer_type]]="MEMBER",OR(Table2[[#This Row],[payment_mode]]="UPI",Table2[[#This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31" t="s">
        <v>24</v>
      </c>
      <c r="D268" s="15" t="s">
        <v>25</v>
      </c>
      <c r="E268" s="15">
        <v>216.16</v>
      </c>
      <c r="F268" s="5" t="str">
        <f>IF(Table2[[#This Row],[sales]]&gt;3000,"High Sales",IF(Table2[[#This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2" t="str">
        <f>IF(AND(Table2[[#This Row],[customer_type]]="MEMBER",OR(Table2[[#This Row],[payment_mode]]="UPI",Table2[[#This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30" t="s">
        <v>29</v>
      </c>
      <c r="D269" s="10" t="s">
        <v>14</v>
      </c>
      <c r="E269" s="10">
        <v>2649.55</v>
      </c>
      <c r="F269" s="5" t="str">
        <f>IF(Table2[[#This Row],[sales]]&gt;3000,"High Sales",IF(Table2[[#This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2" t="str">
        <f>IF(AND(Table2[[#This Row],[customer_type]]="MEMBER",OR(Table2[[#This Row],[payment_mode]]="UPI",Table2[[#This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29" t="s">
        <v>13</v>
      </c>
      <c r="D270" s="15" t="s">
        <v>37</v>
      </c>
      <c r="E270" s="15">
        <v>4942.3599999999997</v>
      </c>
      <c r="F270" s="5" t="str">
        <f>IF(Table2[[#This Row],[sales]]&gt;3000,"High Sales",IF(Table2[[#This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2" t="str">
        <f>IF(AND(Table2[[#This Row],[customer_type]]="MEMBER",OR(Table2[[#This Row],[payment_mode]]="UPI",Table2[[#This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577</v>
      </c>
      <c r="C271" s="30" t="s">
        <v>577</v>
      </c>
      <c r="D271" s="10" t="s">
        <v>14</v>
      </c>
      <c r="E271" s="10">
        <v>4094.66</v>
      </c>
      <c r="F271" s="5" t="str">
        <f>IF(Table2[[#This Row],[sales]]&gt;3000,"High Sales",IF(Table2[[#This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2" t="str">
        <f>IF(AND(Table2[[#This Row],[customer_type]]="MEMBER",OR(Table2[[#This Row],[payment_mode]]="UPI",Table2[[#This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31" t="s">
        <v>24</v>
      </c>
      <c r="D272" s="15" t="s">
        <v>14</v>
      </c>
      <c r="E272" s="15">
        <v>4497.63</v>
      </c>
      <c r="F272" s="5" t="str">
        <f>IF(Table2[[#This Row],[sales]]&gt;3000,"High Sales",IF(Table2[[#This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2" t="str">
        <f>IF(AND(Table2[[#This Row],[customer_type]]="MEMBER",OR(Table2[[#This Row],[payment_mode]]="UPI",Table2[[#This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30" t="s">
        <v>29</v>
      </c>
      <c r="D273" s="10" t="s">
        <v>19</v>
      </c>
      <c r="E273" s="10">
        <v>3143.7</v>
      </c>
      <c r="F273" s="5" t="str">
        <f>IF(Table2[[#This Row],[sales]]&gt;3000,"High Sales",IF(Table2[[#This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2" t="str">
        <f>IF(AND(Table2[[#This Row],[customer_type]]="MEMBER",OR(Table2[[#This Row],[payment_mode]]="UPI",Table2[[#This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29" t="s">
        <v>13</v>
      </c>
      <c r="D274" s="15" t="s">
        <v>37</v>
      </c>
      <c r="E274" s="15">
        <v>2459.09</v>
      </c>
      <c r="F274" s="5" t="str">
        <f>IF(Table2[[#This Row],[sales]]&gt;3000,"High Sales",IF(Table2[[#This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2" t="str">
        <f>IF(AND(Table2[[#This Row],[customer_type]]="MEMBER",OR(Table2[[#This Row],[payment_mode]]="UPI",Table2[[#This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577</v>
      </c>
      <c r="C275" s="30" t="s">
        <v>577</v>
      </c>
      <c r="D275" s="10" t="s">
        <v>34</v>
      </c>
      <c r="E275" s="10">
        <v>4953.24</v>
      </c>
      <c r="F275" s="5" t="str">
        <f>IF(Table2[[#This Row],[sales]]&gt;3000,"High Sales",IF(Table2[[#This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2" t="str">
        <f>IF(AND(Table2[[#This Row],[customer_type]]="MEMBER",OR(Table2[[#This Row],[payment_mode]]="UPI",Table2[[#This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31" t="s">
        <v>24</v>
      </c>
      <c r="D276" s="15" t="s">
        <v>34</v>
      </c>
      <c r="E276" s="15">
        <v>2291.09</v>
      </c>
      <c r="F276" s="5" t="str">
        <f>IF(Table2[[#This Row],[sales]]&gt;3000,"High Sales",IF(Table2[[#This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2" t="str">
        <f>IF(AND(Table2[[#This Row],[customer_type]]="MEMBER",OR(Table2[[#This Row],[payment_mode]]="UPI",Table2[[#This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30" t="s">
        <v>29</v>
      </c>
      <c r="D277" s="10" t="s">
        <v>14</v>
      </c>
      <c r="E277" s="10">
        <v>4592.47</v>
      </c>
      <c r="F277" s="5" t="str">
        <f>IF(Table2[[#This Row],[sales]]&gt;3000,"High Sales",IF(Table2[[#This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2" t="str">
        <f>IF(AND(Table2[[#This Row],[customer_type]]="MEMBER",OR(Table2[[#This Row],[payment_mode]]="UPI",Table2[[#This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29" t="s">
        <v>13</v>
      </c>
      <c r="D278" s="15" t="s">
        <v>14</v>
      </c>
      <c r="E278" s="15">
        <v>3833.04</v>
      </c>
      <c r="F278" s="5" t="str">
        <f>IF(Table2[[#This Row],[sales]]&gt;3000,"High Sales",IF(Table2[[#This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2" t="str">
        <f>IF(AND(Table2[[#This Row],[customer_type]]="MEMBER",OR(Table2[[#This Row],[payment_mode]]="UPI",Table2[[#This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577</v>
      </c>
      <c r="C279" s="30" t="s">
        <v>577</v>
      </c>
      <c r="D279" s="10" t="s">
        <v>25</v>
      </c>
      <c r="E279" s="10">
        <v>1721.79</v>
      </c>
      <c r="F279" s="5" t="str">
        <f>IF(Table2[[#This Row],[sales]]&gt;3000,"High Sales",IF(Table2[[#This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2" t="str">
        <f>IF(AND(Table2[[#This Row],[customer_type]]="MEMBER",OR(Table2[[#This Row],[payment_mode]]="UPI",Table2[[#This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31" t="s">
        <v>24</v>
      </c>
      <c r="D280" s="15" t="s">
        <v>37</v>
      </c>
      <c r="E280" s="15">
        <v>2565</v>
      </c>
      <c r="F280" s="5" t="str">
        <f>IF(Table2[[#This Row],[sales]]&gt;3000,"High Sales",IF(Table2[[#This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2" t="str">
        <f>IF(AND(Table2[[#This Row],[customer_type]]="MEMBER",OR(Table2[[#This Row],[payment_mode]]="UPI",Table2[[#This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30" t="s">
        <v>29</v>
      </c>
      <c r="D281" s="10" t="s">
        <v>14</v>
      </c>
      <c r="E281" s="10">
        <v>1983.21</v>
      </c>
      <c r="F281" s="5" t="str">
        <f>IF(Table2[[#This Row],[sales]]&gt;3000,"High Sales",IF(Table2[[#This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2" t="str">
        <f>IF(AND(Table2[[#This Row],[customer_type]]="MEMBER",OR(Table2[[#This Row],[payment_mode]]="UPI",Table2[[#This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29" t="s">
        <v>13</v>
      </c>
      <c r="D282" s="15" t="s">
        <v>25</v>
      </c>
      <c r="E282" s="15">
        <v>767.49</v>
      </c>
      <c r="F282" s="5" t="str">
        <f>IF(Table2[[#This Row],[sales]]&gt;3000,"High Sales",IF(Table2[[#This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2" t="str">
        <f>IF(AND(Table2[[#This Row],[customer_type]]="MEMBER",OR(Table2[[#This Row],[payment_mode]]="UPI",Table2[[#This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577</v>
      </c>
      <c r="C283" s="30" t="s">
        <v>577</v>
      </c>
      <c r="D283" s="10" t="s">
        <v>37</v>
      </c>
      <c r="E283" s="10">
        <v>1848.16</v>
      </c>
      <c r="F283" s="5" t="str">
        <f>IF(Table2[[#This Row],[sales]]&gt;3000,"High Sales",IF(Table2[[#This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2" t="str">
        <f>IF(AND(Table2[[#This Row],[customer_type]]="MEMBER",OR(Table2[[#This Row],[payment_mode]]="UPI",Table2[[#This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31" t="s">
        <v>24</v>
      </c>
      <c r="D284" s="15" t="s">
        <v>34</v>
      </c>
      <c r="E284" s="15">
        <v>4455.97</v>
      </c>
      <c r="F284" s="5" t="str">
        <f>IF(Table2[[#This Row],[sales]]&gt;3000,"High Sales",IF(Table2[[#This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2" t="str">
        <f>IF(AND(Table2[[#This Row],[customer_type]]="MEMBER",OR(Table2[[#This Row],[payment_mode]]="UPI",Table2[[#This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30" t="s">
        <v>29</v>
      </c>
      <c r="D285" s="10" t="s">
        <v>25</v>
      </c>
      <c r="E285" s="10">
        <v>3787.91</v>
      </c>
      <c r="F285" s="5" t="str">
        <f>IF(Table2[[#This Row],[sales]]&gt;3000,"High Sales",IF(Table2[[#This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2" t="str">
        <f>IF(AND(Table2[[#This Row],[customer_type]]="MEMBER",OR(Table2[[#This Row],[payment_mode]]="UPI",Table2[[#This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29" t="s">
        <v>13</v>
      </c>
      <c r="D286" s="15" t="s">
        <v>37</v>
      </c>
      <c r="E286" s="15">
        <v>1460.15</v>
      </c>
      <c r="F286" s="5" t="str">
        <f>IF(Table2[[#This Row],[sales]]&gt;3000,"High Sales",IF(Table2[[#This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2" t="str">
        <f>IF(AND(Table2[[#This Row],[customer_type]]="MEMBER",OR(Table2[[#This Row],[payment_mode]]="UPI",Table2[[#This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577</v>
      </c>
      <c r="C287" s="30" t="s">
        <v>577</v>
      </c>
      <c r="D287" s="10" t="s">
        <v>25</v>
      </c>
      <c r="E287" s="10">
        <v>1902.78</v>
      </c>
      <c r="F287" s="5" t="str">
        <f>IF(Table2[[#This Row],[sales]]&gt;3000,"High Sales",IF(Table2[[#This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2" t="str">
        <f>IF(AND(Table2[[#This Row],[customer_type]]="MEMBER",OR(Table2[[#This Row],[payment_mode]]="UPI",Table2[[#This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31" t="s">
        <v>24</v>
      </c>
      <c r="D288" s="15" t="s">
        <v>14</v>
      </c>
      <c r="E288" s="15">
        <v>3120.53</v>
      </c>
      <c r="F288" s="5" t="str">
        <f>IF(Table2[[#This Row],[sales]]&gt;3000,"High Sales",IF(Table2[[#This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2" t="str">
        <f>IF(AND(Table2[[#This Row],[customer_type]]="MEMBER",OR(Table2[[#This Row],[payment_mode]]="UPI",Table2[[#This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30" t="s">
        <v>29</v>
      </c>
      <c r="D289" s="10" t="s">
        <v>19</v>
      </c>
      <c r="E289" s="10">
        <v>2139.09</v>
      </c>
      <c r="F289" s="5" t="str">
        <f>IF(Table2[[#This Row],[sales]]&gt;3000,"High Sales",IF(Table2[[#This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2" t="str">
        <f>IF(AND(Table2[[#This Row],[customer_type]]="MEMBER",OR(Table2[[#This Row],[payment_mode]]="UPI",Table2[[#This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29" t="s">
        <v>13</v>
      </c>
      <c r="D290" s="15" t="s">
        <v>34</v>
      </c>
      <c r="E290" s="15">
        <v>2564.92</v>
      </c>
      <c r="F290" s="5" t="str">
        <f>IF(Table2[[#This Row],[sales]]&gt;3000,"High Sales",IF(Table2[[#This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2" t="str">
        <f>IF(AND(Table2[[#This Row],[customer_type]]="MEMBER",OR(Table2[[#This Row],[payment_mode]]="UPI",Table2[[#This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577</v>
      </c>
      <c r="C291" s="30" t="s">
        <v>577</v>
      </c>
      <c r="D291" s="10" t="s">
        <v>14</v>
      </c>
      <c r="E291" s="10">
        <v>3521.03</v>
      </c>
      <c r="F291" s="5" t="str">
        <f>IF(Table2[[#This Row],[sales]]&gt;3000,"High Sales",IF(Table2[[#This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2" t="str">
        <f>IF(AND(Table2[[#This Row],[customer_type]]="MEMBER",OR(Table2[[#This Row],[payment_mode]]="UPI",Table2[[#This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31" t="s">
        <v>24</v>
      </c>
      <c r="D292" s="15" t="s">
        <v>14</v>
      </c>
      <c r="E292" s="15">
        <v>2389.5300000000002</v>
      </c>
      <c r="F292" s="5" t="str">
        <f>IF(Table2[[#This Row],[sales]]&gt;3000,"High Sales",IF(Table2[[#This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2" t="str">
        <f>IF(AND(Table2[[#This Row],[customer_type]]="MEMBER",OR(Table2[[#This Row],[payment_mode]]="UPI",Table2[[#This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30" t="s">
        <v>29</v>
      </c>
      <c r="D293" s="10" t="s">
        <v>37</v>
      </c>
      <c r="E293" s="10">
        <v>1035.75</v>
      </c>
      <c r="F293" s="5" t="str">
        <f>IF(Table2[[#This Row],[sales]]&gt;3000,"High Sales",IF(Table2[[#This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2" t="str">
        <f>IF(AND(Table2[[#This Row],[customer_type]]="MEMBER",OR(Table2[[#This Row],[payment_mode]]="UPI",Table2[[#This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29" t="s">
        <v>13</v>
      </c>
      <c r="D294" s="15" t="s">
        <v>25</v>
      </c>
      <c r="E294" s="15">
        <v>2650.81</v>
      </c>
      <c r="F294" s="5" t="str">
        <f>IF(Table2[[#This Row],[sales]]&gt;3000,"High Sales",IF(Table2[[#This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2" t="str">
        <f>IF(AND(Table2[[#This Row],[customer_type]]="MEMBER",OR(Table2[[#This Row],[payment_mode]]="UPI",Table2[[#This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577</v>
      </c>
      <c r="C295" s="30" t="s">
        <v>577</v>
      </c>
      <c r="D295" s="10" t="s">
        <v>34</v>
      </c>
      <c r="E295" s="10">
        <v>1844.98</v>
      </c>
      <c r="F295" s="5" t="str">
        <f>IF(Table2[[#This Row],[sales]]&gt;3000,"High Sales",IF(Table2[[#This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2" t="str">
        <f>IF(AND(Table2[[#This Row],[customer_type]]="MEMBER",OR(Table2[[#This Row],[payment_mode]]="UPI",Table2[[#This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31" t="s">
        <v>24</v>
      </c>
      <c r="D296" s="15" t="s">
        <v>14</v>
      </c>
      <c r="E296" s="15">
        <v>1524.6</v>
      </c>
      <c r="F296" s="5" t="str">
        <f>IF(Table2[[#This Row],[sales]]&gt;3000,"High Sales",IF(Table2[[#This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2" t="str">
        <f>IF(AND(Table2[[#This Row],[customer_type]]="MEMBER",OR(Table2[[#This Row],[payment_mode]]="UPI",Table2[[#This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30" t="s">
        <v>29</v>
      </c>
      <c r="D297" s="10" t="s">
        <v>37</v>
      </c>
      <c r="E297" s="10">
        <v>1707.73</v>
      </c>
      <c r="F297" s="5" t="str">
        <f>IF(Table2[[#This Row],[sales]]&gt;3000,"High Sales",IF(Table2[[#This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2" t="str">
        <f>IF(AND(Table2[[#This Row],[customer_type]]="MEMBER",OR(Table2[[#This Row],[payment_mode]]="UPI",Table2[[#This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29" t="s">
        <v>13</v>
      </c>
      <c r="D298" s="15" t="s">
        <v>34</v>
      </c>
      <c r="E298" s="15">
        <v>2251.11</v>
      </c>
      <c r="F298" s="5" t="str">
        <f>IF(Table2[[#This Row],[sales]]&gt;3000,"High Sales",IF(Table2[[#This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2" t="str">
        <f>IF(AND(Table2[[#This Row],[customer_type]]="MEMBER",OR(Table2[[#This Row],[payment_mode]]="UPI",Table2[[#This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577</v>
      </c>
      <c r="C299" s="30" t="s">
        <v>577</v>
      </c>
      <c r="D299" s="10" t="s">
        <v>25</v>
      </c>
      <c r="E299" s="10">
        <v>4444.3999999999996</v>
      </c>
      <c r="F299" s="5" t="str">
        <f>IF(Table2[[#This Row],[sales]]&gt;3000,"High Sales",IF(Table2[[#This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2" t="str">
        <f>IF(AND(Table2[[#This Row],[customer_type]]="MEMBER",OR(Table2[[#This Row],[payment_mode]]="UPI",Table2[[#This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31" t="s">
        <v>24</v>
      </c>
      <c r="D300" s="15" t="s">
        <v>14</v>
      </c>
      <c r="E300" s="15">
        <v>3696.88</v>
      </c>
      <c r="F300" s="5" t="str">
        <f>IF(Table2[[#This Row],[sales]]&gt;3000,"High Sales",IF(Table2[[#This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2" t="str">
        <f>IF(AND(Table2[[#This Row],[customer_type]]="MEMBER",OR(Table2[[#This Row],[payment_mode]]="UPI",Table2[[#This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30" t="s">
        <v>29</v>
      </c>
      <c r="D301" s="10" t="s">
        <v>14</v>
      </c>
      <c r="E301" s="10">
        <v>3372.62</v>
      </c>
      <c r="F301" s="5" t="str">
        <f>IF(Table2[[#This Row],[sales]]&gt;3000,"High Sales",IF(Table2[[#This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2" t="str">
        <f>IF(AND(Table2[[#This Row],[customer_type]]="MEMBER",OR(Table2[[#This Row],[payment_mode]]="UPI",Table2[[#This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29" t="s">
        <v>13</v>
      </c>
      <c r="D302" s="15" t="s">
        <v>14</v>
      </c>
      <c r="E302" s="15">
        <v>2409.1799999999998</v>
      </c>
      <c r="F302" s="5" t="str">
        <f>IF(Table2[[#This Row],[sales]]&gt;3000,"High Sales",IF(Table2[[#This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2" t="str">
        <f>IF(AND(Table2[[#This Row],[customer_type]]="MEMBER",OR(Table2[[#This Row],[payment_mode]]="UPI",Table2[[#This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577</v>
      </c>
      <c r="C303" s="30" t="s">
        <v>577</v>
      </c>
      <c r="D303" s="10" t="s">
        <v>34</v>
      </c>
      <c r="E303" s="10">
        <v>108.97</v>
      </c>
      <c r="F303" s="5" t="str">
        <f>IF(Table2[[#This Row],[sales]]&gt;3000,"High Sales",IF(Table2[[#This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2" t="str">
        <f>IF(AND(Table2[[#This Row],[customer_type]]="MEMBER",OR(Table2[[#This Row],[payment_mode]]="UPI",Table2[[#This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31" t="s">
        <v>24</v>
      </c>
      <c r="D304" s="15" t="s">
        <v>34</v>
      </c>
      <c r="E304" s="15">
        <v>1768.7</v>
      </c>
      <c r="F304" s="5" t="str">
        <f>IF(Table2[[#This Row],[sales]]&gt;3000,"High Sales",IF(Table2[[#This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2" t="str">
        <f>IF(AND(Table2[[#This Row],[customer_type]]="MEMBER",OR(Table2[[#This Row],[payment_mode]]="UPI",Table2[[#This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30" t="s">
        <v>29</v>
      </c>
      <c r="D305" s="10" t="s">
        <v>34</v>
      </c>
      <c r="E305" s="10">
        <v>4084.64</v>
      </c>
      <c r="F305" s="5" t="str">
        <f>IF(Table2[[#This Row],[sales]]&gt;3000,"High Sales",IF(Table2[[#This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2" t="str">
        <f>IF(AND(Table2[[#This Row],[customer_type]]="MEMBER",OR(Table2[[#This Row],[payment_mode]]="UPI",Table2[[#This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29" t="s">
        <v>13</v>
      </c>
      <c r="D306" s="15" t="s">
        <v>34</v>
      </c>
      <c r="E306" s="15">
        <v>2002.04</v>
      </c>
      <c r="F306" s="5" t="str">
        <f>IF(Table2[[#This Row],[sales]]&gt;3000,"High Sales",IF(Table2[[#This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2" t="str">
        <f>IF(AND(Table2[[#This Row],[customer_type]]="MEMBER",OR(Table2[[#This Row],[payment_mode]]="UPI",Table2[[#This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577</v>
      </c>
      <c r="C307" s="30" t="s">
        <v>577</v>
      </c>
      <c r="D307" s="10" t="s">
        <v>37</v>
      </c>
      <c r="E307" s="10">
        <v>2862.71</v>
      </c>
      <c r="F307" s="5" t="str">
        <f>IF(Table2[[#This Row],[sales]]&gt;3000,"High Sales",IF(Table2[[#This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2" t="str">
        <f>IF(AND(Table2[[#This Row],[customer_type]]="MEMBER",OR(Table2[[#This Row],[payment_mode]]="UPI",Table2[[#This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31" t="s">
        <v>24</v>
      </c>
      <c r="D308" s="15" t="s">
        <v>19</v>
      </c>
      <c r="E308" s="15">
        <v>1103.23</v>
      </c>
      <c r="F308" s="5" t="str">
        <f>IF(Table2[[#This Row],[sales]]&gt;3000,"High Sales",IF(Table2[[#This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2" t="str">
        <f>IF(AND(Table2[[#This Row],[customer_type]]="MEMBER",OR(Table2[[#This Row],[payment_mode]]="UPI",Table2[[#This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30" t="s">
        <v>29</v>
      </c>
      <c r="D309" s="10" t="s">
        <v>37</v>
      </c>
      <c r="E309" s="10">
        <v>4587.7</v>
      </c>
      <c r="F309" s="5" t="str">
        <f>IF(Table2[[#This Row],[sales]]&gt;3000,"High Sales",IF(Table2[[#This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2" t="str">
        <f>IF(AND(Table2[[#This Row],[customer_type]]="MEMBER",OR(Table2[[#This Row],[payment_mode]]="UPI",Table2[[#This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29" t="s">
        <v>13</v>
      </c>
      <c r="D310" s="15" t="s">
        <v>14</v>
      </c>
      <c r="E310" s="15">
        <v>4623.54</v>
      </c>
      <c r="F310" s="5" t="str">
        <f>IF(Table2[[#This Row],[sales]]&gt;3000,"High Sales",IF(Table2[[#This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2" t="str">
        <f>IF(AND(Table2[[#This Row],[customer_type]]="MEMBER",OR(Table2[[#This Row],[payment_mode]]="UPI",Table2[[#This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577</v>
      </c>
      <c r="C311" s="30" t="s">
        <v>577</v>
      </c>
      <c r="D311" s="10" t="s">
        <v>37</v>
      </c>
      <c r="E311" s="10">
        <v>815.74</v>
      </c>
      <c r="F311" s="5" t="str">
        <f>IF(Table2[[#This Row],[sales]]&gt;3000,"High Sales",IF(Table2[[#This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2" t="str">
        <f>IF(AND(Table2[[#This Row],[customer_type]]="MEMBER",OR(Table2[[#This Row],[payment_mode]]="UPI",Table2[[#This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31" t="s">
        <v>24</v>
      </c>
      <c r="D312" s="15" t="s">
        <v>25</v>
      </c>
      <c r="E312" s="15">
        <v>3648.38</v>
      </c>
      <c r="F312" s="5" t="str">
        <f>IF(Table2[[#This Row],[sales]]&gt;3000,"High Sales",IF(Table2[[#This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2" t="str">
        <f>IF(AND(Table2[[#This Row],[customer_type]]="MEMBER",OR(Table2[[#This Row],[payment_mode]]="UPI",Table2[[#This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30" t="s">
        <v>29</v>
      </c>
      <c r="D313" s="10" t="s">
        <v>34</v>
      </c>
      <c r="E313" s="10">
        <v>468.67</v>
      </c>
      <c r="F313" s="5" t="str">
        <f>IF(Table2[[#This Row],[sales]]&gt;3000,"High Sales",IF(Table2[[#This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2" t="str">
        <f>IF(AND(Table2[[#This Row],[customer_type]]="MEMBER",OR(Table2[[#This Row],[payment_mode]]="UPI",Table2[[#This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29" t="s">
        <v>13</v>
      </c>
      <c r="D314" s="15" t="s">
        <v>25</v>
      </c>
      <c r="E314" s="15">
        <v>3032.88</v>
      </c>
      <c r="F314" s="5" t="str">
        <f>IF(Table2[[#This Row],[sales]]&gt;3000,"High Sales",IF(Table2[[#This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2" t="str">
        <f>IF(AND(Table2[[#This Row],[customer_type]]="MEMBER",OR(Table2[[#This Row],[payment_mode]]="UPI",Table2[[#This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577</v>
      </c>
      <c r="C315" s="30" t="s">
        <v>577</v>
      </c>
      <c r="D315" s="10" t="s">
        <v>25</v>
      </c>
      <c r="E315" s="10">
        <v>975.4</v>
      </c>
      <c r="F315" s="5" t="str">
        <f>IF(Table2[[#This Row],[sales]]&gt;3000,"High Sales",IF(Table2[[#This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2" t="str">
        <f>IF(AND(Table2[[#This Row],[customer_type]]="MEMBER",OR(Table2[[#This Row],[payment_mode]]="UPI",Table2[[#This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31" t="s">
        <v>24</v>
      </c>
      <c r="D316" s="15" t="s">
        <v>14</v>
      </c>
      <c r="E316" s="15">
        <v>813.96</v>
      </c>
      <c r="F316" s="5" t="str">
        <f>IF(Table2[[#This Row],[sales]]&gt;3000,"High Sales",IF(Table2[[#This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2" t="str">
        <f>IF(AND(Table2[[#This Row],[customer_type]]="MEMBER",OR(Table2[[#This Row],[payment_mode]]="UPI",Table2[[#This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30" t="s">
        <v>29</v>
      </c>
      <c r="D317" s="10" t="s">
        <v>34</v>
      </c>
      <c r="E317" s="10">
        <v>120.19</v>
      </c>
      <c r="F317" s="5" t="str">
        <f>IF(Table2[[#This Row],[sales]]&gt;3000,"High Sales",IF(Table2[[#This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2" t="str">
        <f>IF(AND(Table2[[#This Row],[customer_type]]="MEMBER",OR(Table2[[#This Row],[payment_mode]]="UPI",Table2[[#This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29" t="s">
        <v>13</v>
      </c>
      <c r="D318" s="15" t="s">
        <v>25</v>
      </c>
      <c r="E318" s="15">
        <v>4710.2</v>
      </c>
      <c r="F318" s="5" t="str">
        <f>IF(Table2[[#This Row],[sales]]&gt;3000,"High Sales",IF(Table2[[#This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2" t="str">
        <f>IF(AND(Table2[[#This Row],[customer_type]]="MEMBER",OR(Table2[[#This Row],[payment_mode]]="UPI",Table2[[#This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577</v>
      </c>
      <c r="C319" s="30" t="s">
        <v>577</v>
      </c>
      <c r="D319" s="10" t="s">
        <v>14</v>
      </c>
      <c r="E319" s="10">
        <v>4163.34</v>
      </c>
      <c r="F319" s="5" t="str">
        <f>IF(Table2[[#This Row],[sales]]&gt;3000,"High Sales",IF(Table2[[#This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2" t="str">
        <f>IF(AND(Table2[[#This Row],[customer_type]]="MEMBER",OR(Table2[[#This Row],[payment_mode]]="UPI",Table2[[#This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31" t="s">
        <v>24</v>
      </c>
      <c r="D320" s="15" t="s">
        <v>34</v>
      </c>
      <c r="E320" s="15">
        <v>479.63</v>
      </c>
      <c r="F320" s="5" t="str">
        <f>IF(Table2[[#This Row],[sales]]&gt;3000,"High Sales",IF(Table2[[#This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2" t="str">
        <f>IF(AND(Table2[[#This Row],[customer_type]]="MEMBER",OR(Table2[[#This Row],[payment_mode]]="UPI",Table2[[#This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30" t="s">
        <v>29</v>
      </c>
      <c r="D321" s="10" t="s">
        <v>19</v>
      </c>
      <c r="E321" s="10">
        <v>3036.94</v>
      </c>
      <c r="F321" s="5" t="str">
        <f>IF(Table2[[#This Row],[sales]]&gt;3000,"High Sales",IF(Table2[[#This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2" t="str">
        <f>IF(AND(Table2[[#This Row],[customer_type]]="MEMBER",OR(Table2[[#This Row],[payment_mode]]="UPI",Table2[[#This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29" t="s">
        <v>13</v>
      </c>
      <c r="D322" s="15" t="s">
        <v>14</v>
      </c>
      <c r="E322" s="15">
        <v>1241.2</v>
      </c>
      <c r="F322" s="5" t="str">
        <f>IF(Table2[[#This Row],[sales]]&gt;3000,"High Sales",IF(Table2[[#This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2" t="str">
        <f>IF(AND(Table2[[#This Row],[customer_type]]="MEMBER",OR(Table2[[#This Row],[payment_mode]]="UPI",Table2[[#This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577</v>
      </c>
      <c r="C323" s="30" t="s">
        <v>577</v>
      </c>
      <c r="D323" s="10" t="s">
        <v>37</v>
      </c>
      <c r="E323" s="10">
        <v>1393.68</v>
      </c>
      <c r="F323" s="5" t="str">
        <f>IF(Table2[[#This Row],[sales]]&gt;3000,"High Sales",IF(Table2[[#This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2" t="str">
        <f>IF(AND(Table2[[#This Row],[customer_type]]="MEMBER",OR(Table2[[#This Row],[payment_mode]]="UPI",Table2[[#This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31" t="s">
        <v>24</v>
      </c>
      <c r="D324" s="15" t="s">
        <v>34</v>
      </c>
      <c r="E324" s="15">
        <v>4383.43</v>
      </c>
      <c r="F324" s="5" t="str">
        <f>IF(Table2[[#This Row],[sales]]&gt;3000,"High Sales",IF(Table2[[#This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2" t="str">
        <f>IF(AND(Table2[[#This Row],[customer_type]]="MEMBER",OR(Table2[[#This Row],[payment_mode]]="UPI",Table2[[#This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30" t="s">
        <v>29</v>
      </c>
      <c r="D325" s="10" t="s">
        <v>25</v>
      </c>
      <c r="E325" s="10">
        <v>660.2</v>
      </c>
      <c r="F325" s="5" t="str">
        <f>IF(Table2[[#This Row],[sales]]&gt;3000,"High Sales",IF(Table2[[#This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2" t="str">
        <f>IF(AND(Table2[[#This Row],[customer_type]]="MEMBER",OR(Table2[[#This Row],[payment_mode]]="UPI",Table2[[#This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29" t="s">
        <v>13</v>
      </c>
      <c r="D326" s="15" t="s">
        <v>25</v>
      </c>
      <c r="E326" s="15">
        <v>3047.3</v>
      </c>
      <c r="F326" s="5" t="str">
        <f>IF(Table2[[#This Row],[sales]]&gt;3000,"High Sales",IF(Table2[[#This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2" t="str">
        <f>IF(AND(Table2[[#This Row],[customer_type]]="MEMBER",OR(Table2[[#This Row],[payment_mode]]="UPI",Table2[[#This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577</v>
      </c>
      <c r="C327" s="30" t="s">
        <v>577</v>
      </c>
      <c r="D327" s="10" t="s">
        <v>37</v>
      </c>
      <c r="E327" s="10">
        <v>2066.15</v>
      </c>
      <c r="F327" s="5" t="str">
        <f>IF(Table2[[#This Row],[sales]]&gt;3000,"High Sales",IF(Table2[[#This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2" t="str">
        <f>IF(AND(Table2[[#This Row],[customer_type]]="MEMBER",OR(Table2[[#This Row],[payment_mode]]="UPI",Table2[[#This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31" t="s">
        <v>24</v>
      </c>
      <c r="D328" s="15" t="s">
        <v>37</v>
      </c>
      <c r="E328" s="15">
        <v>1034.92</v>
      </c>
      <c r="F328" s="5" t="str">
        <f>IF(Table2[[#This Row],[sales]]&gt;3000,"High Sales",IF(Table2[[#This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2" t="str">
        <f>IF(AND(Table2[[#This Row],[customer_type]]="MEMBER",OR(Table2[[#This Row],[payment_mode]]="UPI",Table2[[#This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30" t="s">
        <v>29</v>
      </c>
      <c r="D329" s="10" t="s">
        <v>25</v>
      </c>
      <c r="E329" s="10">
        <v>2314.4</v>
      </c>
      <c r="F329" s="5" t="str">
        <f>IF(Table2[[#This Row],[sales]]&gt;3000,"High Sales",IF(Table2[[#This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2" t="str">
        <f>IF(AND(Table2[[#This Row],[customer_type]]="MEMBER",OR(Table2[[#This Row],[payment_mode]]="UPI",Table2[[#This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29" t="s">
        <v>13</v>
      </c>
      <c r="D330" s="15" t="s">
        <v>34</v>
      </c>
      <c r="E330" s="15">
        <v>4708.3999999999996</v>
      </c>
      <c r="F330" s="5" t="str">
        <f>IF(Table2[[#This Row],[sales]]&gt;3000,"High Sales",IF(Table2[[#This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2" t="str">
        <f>IF(AND(Table2[[#This Row],[customer_type]]="MEMBER",OR(Table2[[#This Row],[payment_mode]]="UPI",Table2[[#This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577</v>
      </c>
      <c r="C331" s="30" t="s">
        <v>577</v>
      </c>
      <c r="D331" s="10" t="s">
        <v>14</v>
      </c>
      <c r="E331" s="10">
        <v>3929.89</v>
      </c>
      <c r="F331" s="5" t="str">
        <f>IF(Table2[[#This Row],[sales]]&gt;3000,"High Sales",IF(Table2[[#This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2" t="str">
        <f>IF(AND(Table2[[#This Row],[customer_type]]="MEMBER",OR(Table2[[#This Row],[payment_mode]]="UPI",Table2[[#This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31" t="s">
        <v>24</v>
      </c>
      <c r="D332" s="15" t="s">
        <v>37</v>
      </c>
      <c r="E332" s="15">
        <v>747.35</v>
      </c>
      <c r="F332" s="5" t="str">
        <f>IF(Table2[[#This Row],[sales]]&gt;3000,"High Sales",IF(Table2[[#This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2" t="str">
        <f>IF(AND(Table2[[#This Row],[customer_type]]="MEMBER",OR(Table2[[#This Row],[payment_mode]]="UPI",Table2[[#This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30" t="s">
        <v>29</v>
      </c>
      <c r="D333" s="10" t="s">
        <v>37</v>
      </c>
      <c r="E333" s="10">
        <v>4262.21</v>
      </c>
      <c r="F333" s="5" t="str">
        <f>IF(Table2[[#This Row],[sales]]&gt;3000,"High Sales",IF(Table2[[#This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2" t="str">
        <f>IF(AND(Table2[[#This Row],[customer_type]]="MEMBER",OR(Table2[[#This Row],[payment_mode]]="UPI",Table2[[#This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29" t="s">
        <v>13</v>
      </c>
      <c r="D334" s="15" t="s">
        <v>37</v>
      </c>
      <c r="E334" s="15">
        <v>4693.46</v>
      </c>
      <c r="F334" s="5" t="str">
        <f>IF(Table2[[#This Row],[sales]]&gt;3000,"High Sales",IF(Table2[[#This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2" t="str">
        <f>IF(AND(Table2[[#This Row],[customer_type]]="MEMBER",OR(Table2[[#This Row],[payment_mode]]="UPI",Table2[[#This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577</v>
      </c>
      <c r="C335" s="30" t="s">
        <v>577</v>
      </c>
      <c r="D335" s="10" t="s">
        <v>19</v>
      </c>
      <c r="E335" s="10">
        <v>1457.12</v>
      </c>
      <c r="F335" s="5" t="str">
        <f>IF(Table2[[#This Row],[sales]]&gt;3000,"High Sales",IF(Table2[[#This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2" t="str">
        <f>IF(AND(Table2[[#This Row],[customer_type]]="MEMBER",OR(Table2[[#This Row],[payment_mode]]="UPI",Table2[[#This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31" t="s">
        <v>24</v>
      </c>
      <c r="D336" s="15" t="s">
        <v>34</v>
      </c>
      <c r="E336" s="15">
        <v>1733.76</v>
      </c>
      <c r="F336" s="5" t="str">
        <f>IF(Table2[[#This Row],[sales]]&gt;3000,"High Sales",IF(Table2[[#This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2" t="str">
        <f>IF(AND(Table2[[#This Row],[customer_type]]="MEMBER",OR(Table2[[#This Row],[payment_mode]]="UPI",Table2[[#This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30" t="s">
        <v>29</v>
      </c>
      <c r="D337" s="10" t="s">
        <v>34</v>
      </c>
      <c r="E337" s="10">
        <v>718.92</v>
      </c>
      <c r="F337" s="5" t="str">
        <f>IF(Table2[[#This Row],[sales]]&gt;3000,"High Sales",IF(Table2[[#This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2" t="str">
        <f>IF(AND(Table2[[#This Row],[customer_type]]="MEMBER",OR(Table2[[#This Row],[payment_mode]]="UPI",Table2[[#This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29" t="s">
        <v>13</v>
      </c>
      <c r="D338" s="15" t="s">
        <v>34</v>
      </c>
      <c r="E338" s="15">
        <v>1790.21</v>
      </c>
      <c r="F338" s="5" t="str">
        <f>IF(Table2[[#This Row],[sales]]&gt;3000,"High Sales",IF(Table2[[#This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2" t="str">
        <f>IF(AND(Table2[[#This Row],[customer_type]]="MEMBER",OR(Table2[[#This Row],[payment_mode]]="UPI",Table2[[#This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577</v>
      </c>
      <c r="C339" s="30" t="s">
        <v>577</v>
      </c>
      <c r="D339" s="10" t="s">
        <v>34</v>
      </c>
      <c r="E339" s="10">
        <v>3398.39</v>
      </c>
      <c r="F339" s="5" t="str">
        <f>IF(Table2[[#This Row],[sales]]&gt;3000,"High Sales",IF(Table2[[#This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2" t="str">
        <f>IF(AND(Table2[[#This Row],[customer_type]]="MEMBER",OR(Table2[[#This Row],[payment_mode]]="UPI",Table2[[#This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31" t="s">
        <v>24</v>
      </c>
      <c r="D340" s="15" t="s">
        <v>34</v>
      </c>
      <c r="E340" s="15">
        <v>1433.56</v>
      </c>
      <c r="F340" s="5" t="str">
        <f>IF(Table2[[#This Row],[sales]]&gt;3000,"High Sales",IF(Table2[[#This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2" t="str">
        <f>IF(AND(Table2[[#This Row],[customer_type]]="MEMBER",OR(Table2[[#This Row],[payment_mode]]="UPI",Table2[[#This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30" t="s">
        <v>29</v>
      </c>
      <c r="D341" s="10" t="s">
        <v>25</v>
      </c>
      <c r="E341" s="10">
        <v>133.44</v>
      </c>
      <c r="F341" s="5" t="str">
        <f>IF(Table2[[#This Row],[sales]]&gt;3000,"High Sales",IF(Table2[[#This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2" t="str">
        <f>IF(AND(Table2[[#This Row],[customer_type]]="MEMBER",OR(Table2[[#This Row],[payment_mode]]="UPI",Table2[[#This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29" t="s">
        <v>13</v>
      </c>
      <c r="D342" s="15" t="s">
        <v>37</v>
      </c>
      <c r="E342" s="15">
        <v>1758.87</v>
      </c>
      <c r="F342" s="5" t="str">
        <f>IF(Table2[[#This Row],[sales]]&gt;3000,"High Sales",IF(Table2[[#This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2" t="str">
        <f>IF(AND(Table2[[#This Row],[customer_type]]="MEMBER",OR(Table2[[#This Row],[payment_mode]]="UPI",Table2[[#This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577</v>
      </c>
      <c r="C343" s="30" t="s">
        <v>577</v>
      </c>
      <c r="D343" s="10" t="s">
        <v>25</v>
      </c>
      <c r="E343" s="10">
        <v>2320.5500000000002</v>
      </c>
      <c r="F343" s="5" t="str">
        <f>IF(Table2[[#This Row],[sales]]&gt;3000,"High Sales",IF(Table2[[#This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2" t="str">
        <f>IF(AND(Table2[[#This Row],[customer_type]]="MEMBER",OR(Table2[[#This Row],[payment_mode]]="UPI",Table2[[#This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31" t="s">
        <v>24</v>
      </c>
      <c r="D344" s="15" t="s">
        <v>19</v>
      </c>
      <c r="E344" s="15">
        <v>2875.14</v>
      </c>
      <c r="F344" s="5" t="str">
        <f>IF(Table2[[#This Row],[sales]]&gt;3000,"High Sales",IF(Table2[[#This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2" t="str">
        <f>IF(AND(Table2[[#This Row],[customer_type]]="MEMBER",OR(Table2[[#This Row],[payment_mode]]="UPI",Table2[[#This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30" t="s">
        <v>29</v>
      </c>
      <c r="D345" s="10" t="s">
        <v>14</v>
      </c>
      <c r="E345" s="10">
        <v>3450.74</v>
      </c>
      <c r="F345" s="5" t="str">
        <f>IF(Table2[[#This Row],[sales]]&gt;3000,"High Sales",IF(Table2[[#This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2" t="str">
        <f>IF(AND(Table2[[#This Row],[customer_type]]="MEMBER",OR(Table2[[#This Row],[payment_mode]]="UPI",Table2[[#This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29" t="s">
        <v>13</v>
      </c>
      <c r="D346" s="15" t="s">
        <v>37</v>
      </c>
      <c r="E346" s="15">
        <v>402.74</v>
      </c>
      <c r="F346" s="5" t="str">
        <f>IF(Table2[[#This Row],[sales]]&gt;3000,"High Sales",IF(Table2[[#This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2" t="str">
        <f>IF(AND(Table2[[#This Row],[customer_type]]="MEMBER",OR(Table2[[#This Row],[payment_mode]]="UPI",Table2[[#This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577</v>
      </c>
      <c r="C347" s="30" t="s">
        <v>577</v>
      </c>
      <c r="D347" s="10" t="s">
        <v>19</v>
      </c>
      <c r="E347" s="10">
        <v>2401.7800000000002</v>
      </c>
      <c r="F347" s="5" t="str">
        <f>IF(Table2[[#This Row],[sales]]&gt;3000,"High Sales",IF(Table2[[#This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2" t="str">
        <f>IF(AND(Table2[[#This Row],[customer_type]]="MEMBER",OR(Table2[[#This Row],[payment_mode]]="UPI",Table2[[#This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31" t="s">
        <v>24</v>
      </c>
      <c r="D348" s="15" t="s">
        <v>25</v>
      </c>
      <c r="E348" s="15">
        <v>1405.18</v>
      </c>
      <c r="F348" s="5" t="str">
        <f>IF(Table2[[#This Row],[sales]]&gt;3000,"High Sales",IF(Table2[[#This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2" t="str">
        <f>IF(AND(Table2[[#This Row],[customer_type]]="MEMBER",OR(Table2[[#This Row],[payment_mode]]="UPI",Table2[[#This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30" t="s">
        <v>29</v>
      </c>
      <c r="D349" s="10" t="s">
        <v>14</v>
      </c>
      <c r="E349" s="10">
        <v>4745.05</v>
      </c>
      <c r="F349" s="5" t="str">
        <f>IF(Table2[[#This Row],[sales]]&gt;3000,"High Sales",IF(Table2[[#This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2" t="str">
        <f>IF(AND(Table2[[#This Row],[customer_type]]="MEMBER",OR(Table2[[#This Row],[payment_mode]]="UPI",Table2[[#This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29" t="s">
        <v>13</v>
      </c>
      <c r="D350" s="15" t="s">
        <v>19</v>
      </c>
      <c r="E350" s="15">
        <v>1863.5</v>
      </c>
      <c r="F350" s="5" t="str">
        <f>IF(Table2[[#This Row],[sales]]&gt;3000,"High Sales",IF(Table2[[#This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2" t="str">
        <f>IF(AND(Table2[[#This Row],[customer_type]]="MEMBER",OR(Table2[[#This Row],[payment_mode]]="UPI",Table2[[#This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577</v>
      </c>
      <c r="C351" s="30" t="s">
        <v>577</v>
      </c>
      <c r="D351" s="10" t="s">
        <v>14</v>
      </c>
      <c r="E351" s="10">
        <v>590.61</v>
      </c>
      <c r="F351" s="5" t="str">
        <f>IF(Table2[[#This Row],[sales]]&gt;3000,"High Sales",IF(Table2[[#This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2" t="str">
        <f>IF(AND(Table2[[#This Row],[customer_type]]="MEMBER",OR(Table2[[#This Row],[payment_mode]]="UPI",Table2[[#This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31" t="s">
        <v>24</v>
      </c>
      <c r="D352" s="15" t="s">
        <v>19</v>
      </c>
      <c r="E352" s="15">
        <v>303.31</v>
      </c>
      <c r="F352" s="5" t="str">
        <f>IF(Table2[[#This Row],[sales]]&gt;3000,"High Sales",IF(Table2[[#This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2" t="str">
        <f>IF(AND(Table2[[#This Row],[customer_type]]="MEMBER",OR(Table2[[#This Row],[payment_mode]]="UPI",Table2[[#This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30" t="s">
        <v>29</v>
      </c>
      <c r="D353" s="10" t="s">
        <v>25</v>
      </c>
      <c r="E353" s="10">
        <v>1400.49</v>
      </c>
      <c r="F353" s="5" t="str">
        <f>IF(Table2[[#This Row],[sales]]&gt;3000,"High Sales",IF(Table2[[#This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2" t="str">
        <f>IF(AND(Table2[[#This Row],[customer_type]]="MEMBER",OR(Table2[[#This Row],[payment_mode]]="UPI",Table2[[#This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29" t="s">
        <v>13</v>
      </c>
      <c r="D354" s="15" t="s">
        <v>14</v>
      </c>
      <c r="E354" s="15">
        <v>976.51</v>
      </c>
      <c r="F354" s="5" t="str">
        <f>IF(Table2[[#This Row],[sales]]&gt;3000,"High Sales",IF(Table2[[#This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2" t="str">
        <f>IF(AND(Table2[[#This Row],[customer_type]]="MEMBER",OR(Table2[[#This Row],[payment_mode]]="UPI",Table2[[#This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577</v>
      </c>
      <c r="C355" s="30" t="s">
        <v>577</v>
      </c>
      <c r="D355" s="10" t="s">
        <v>19</v>
      </c>
      <c r="E355" s="10">
        <v>3284.02</v>
      </c>
      <c r="F355" s="5" t="str">
        <f>IF(Table2[[#This Row],[sales]]&gt;3000,"High Sales",IF(Table2[[#This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2" t="str">
        <f>IF(AND(Table2[[#This Row],[customer_type]]="MEMBER",OR(Table2[[#This Row],[payment_mode]]="UPI",Table2[[#This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31" t="s">
        <v>24</v>
      </c>
      <c r="D356" s="15" t="s">
        <v>25</v>
      </c>
      <c r="E356" s="15">
        <v>4250.1400000000003</v>
      </c>
      <c r="F356" s="5" t="str">
        <f>IF(Table2[[#This Row],[sales]]&gt;3000,"High Sales",IF(Table2[[#This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2" t="str">
        <f>IF(AND(Table2[[#This Row],[customer_type]]="MEMBER",OR(Table2[[#This Row],[payment_mode]]="UPI",Table2[[#This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30" t="s">
        <v>29</v>
      </c>
      <c r="D357" s="10" t="s">
        <v>37</v>
      </c>
      <c r="E357" s="10">
        <v>1631.54</v>
      </c>
      <c r="F357" s="5" t="str">
        <f>IF(Table2[[#This Row],[sales]]&gt;3000,"High Sales",IF(Table2[[#This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2" t="str">
        <f>IF(AND(Table2[[#This Row],[customer_type]]="MEMBER",OR(Table2[[#This Row],[payment_mode]]="UPI",Table2[[#This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29" t="s">
        <v>13</v>
      </c>
      <c r="D358" s="15" t="s">
        <v>25</v>
      </c>
      <c r="E358" s="15">
        <v>2931.18</v>
      </c>
      <c r="F358" s="5" t="str">
        <f>IF(Table2[[#This Row],[sales]]&gt;3000,"High Sales",IF(Table2[[#This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2" t="str">
        <f>IF(AND(Table2[[#This Row],[customer_type]]="MEMBER",OR(Table2[[#This Row],[payment_mode]]="UPI",Table2[[#This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577</v>
      </c>
      <c r="C359" s="30" t="s">
        <v>577</v>
      </c>
      <c r="D359" s="10" t="s">
        <v>25</v>
      </c>
      <c r="E359" s="10">
        <v>3678.5</v>
      </c>
      <c r="F359" s="5" t="str">
        <f>IF(Table2[[#This Row],[sales]]&gt;3000,"High Sales",IF(Table2[[#This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2" t="str">
        <f>IF(AND(Table2[[#This Row],[customer_type]]="MEMBER",OR(Table2[[#This Row],[payment_mode]]="UPI",Table2[[#This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31" t="s">
        <v>24</v>
      </c>
      <c r="D360" s="15" t="s">
        <v>37</v>
      </c>
      <c r="E360" s="15">
        <v>2052.59</v>
      </c>
      <c r="F360" s="5" t="str">
        <f>IF(Table2[[#This Row],[sales]]&gt;3000,"High Sales",IF(Table2[[#This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2" t="str">
        <f>IF(AND(Table2[[#This Row],[customer_type]]="MEMBER",OR(Table2[[#This Row],[payment_mode]]="UPI",Table2[[#This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30" t="s">
        <v>29</v>
      </c>
      <c r="D361" s="10" t="s">
        <v>25</v>
      </c>
      <c r="E361" s="10">
        <v>425</v>
      </c>
      <c r="F361" s="5" t="str">
        <f>IF(Table2[[#This Row],[sales]]&gt;3000,"High Sales",IF(Table2[[#This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2" t="str">
        <f>IF(AND(Table2[[#This Row],[customer_type]]="MEMBER",OR(Table2[[#This Row],[payment_mode]]="UPI",Table2[[#This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29" t="s">
        <v>13</v>
      </c>
      <c r="D362" s="15" t="s">
        <v>37</v>
      </c>
      <c r="E362" s="15">
        <v>1223.01</v>
      </c>
      <c r="F362" s="5" t="str">
        <f>IF(Table2[[#This Row],[sales]]&gt;3000,"High Sales",IF(Table2[[#This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2" t="str">
        <f>IF(AND(Table2[[#This Row],[customer_type]]="MEMBER",OR(Table2[[#This Row],[payment_mode]]="UPI",Table2[[#This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577</v>
      </c>
      <c r="C363" s="30" t="s">
        <v>577</v>
      </c>
      <c r="D363" s="10" t="s">
        <v>37</v>
      </c>
      <c r="E363" s="10">
        <v>4427.0200000000004</v>
      </c>
      <c r="F363" s="5" t="str">
        <f>IF(Table2[[#This Row],[sales]]&gt;3000,"High Sales",IF(Table2[[#This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2" t="str">
        <f>IF(AND(Table2[[#This Row],[customer_type]]="MEMBER",OR(Table2[[#This Row],[payment_mode]]="UPI",Table2[[#This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31" t="s">
        <v>24</v>
      </c>
      <c r="D364" s="15" t="s">
        <v>37</v>
      </c>
      <c r="E364" s="15">
        <v>4139.95</v>
      </c>
      <c r="F364" s="5" t="str">
        <f>IF(Table2[[#This Row],[sales]]&gt;3000,"High Sales",IF(Table2[[#This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2" t="str">
        <f>IF(AND(Table2[[#This Row],[customer_type]]="MEMBER",OR(Table2[[#This Row],[payment_mode]]="UPI",Table2[[#This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30" t="s">
        <v>29</v>
      </c>
      <c r="D365" s="10" t="s">
        <v>19</v>
      </c>
      <c r="E365" s="10">
        <v>524.01</v>
      </c>
      <c r="F365" s="5" t="str">
        <f>IF(Table2[[#This Row],[sales]]&gt;3000,"High Sales",IF(Table2[[#This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2" t="str">
        <f>IF(AND(Table2[[#This Row],[customer_type]]="MEMBER",OR(Table2[[#This Row],[payment_mode]]="UPI",Table2[[#This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29" t="s">
        <v>13</v>
      </c>
      <c r="D366" s="15" t="s">
        <v>14</v>
      </c>
      <c r="E366" s="15">
        <v>1197.3499999999999</v>
      </c>
      <c r="F366" s="5" t="str">
        <f>IF(Table2[[#This Row],[sales]]&gt;3000,"High Sales",IF(Table2[[#This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2" t="str">
        <f>IF(AND(Table2[[#This Row],[customer_type]]="MEMBER",OR(Table2[[#This Row],[payment_mode]]="UPI",Table2[[#This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577</v>
      </c>
      <c r="C367" s="30" t="s">
        <v>577</v>
      </c>
      <c r="D367" s="10" t="s">
        <v>19</v>
      </c>
      <c r="E367" s="10">
        <v>3868.91</v>
      </c>
      <c r="F367" s="5" t="str">
        <f>IF(Table2[[#This Row],[sales]]&gt;3000,"High Sales",IF(Table2[[#This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2" t="str">
        <f>IF(AND(Table2[[#This Row],[customer_type]]="MEMBER",OR(Table2[[#This Row],[payment_mode]]="UPI",Table2[[#This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31" t="s">
        <v>24</v>
      </c>
      <c r="D368" s="15" t="s">
        <v>37</v>
      </c>
      <c r="E368" s="15">
        <v>2480.9</v>
      </c>
      <c r="F368" s="5" t="str">
        <f>IF(Table2[[#This Row],[sales]]&gt;3000,"High Sales",IF(Table2[[#This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2" t="str">
        <f>IF(AND(Table2[[#This Row],[customer_type]]="MEMBER",OR(Table2[[#This Row],[payment_mode]]="UPI",Table2[[#This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30" t="s">
        <v>29</v>
      </c>
      <c r="D369" s="10" t="s">
        <v>14</v>
      </c>
      <c r="E369" s="10">
        <v>3823.84</v>
      </c>
      <c r="F369" s="5" t="str">
        <f>IF(Table2[[#This Row],[sales]]&gt;3000,"High Sales",IF(Table2[[#This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2" t="str">
        <f>IF(AND(Table2[[#This Row],[customer_type]]="MEMBER",OR(Table2[[#This Row],[payment_mode]]="UPI",Table2[[#This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29" t="s">
        <v>13</v>
      </c>
      <c r="D370" s="15" t="s">
        <v>14</v>
      </c>
      <c r="E370" s="15">
        <v>1134.3499999999999</v>
      </c>
      <c r="F370" s="5" t="str">
        <f>IF(Table2[[#This Row],[sales]]&gt;3000,"High Sales",IF(Table2[[#This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2" t="str">
        <f>IF(AND(Table2[[#This Row],[customer_type]]="MEMBER",OR(Table2[[#This Row],[payment_mode]]="UPI",Table2[[#This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577</v>
      </c>
      <c r="C371" s="30" t="s">
        <v>577</v>
      </c>
      <c r="D371" s="10" t="s">
        <v>37</v>
      </c>
      <c r="E371" s="10">
        <v>4768.22</v>
      </c>
      <c r="F371" s="5" t="str">
        <f>IF(Table2[[#This Row],[sales]]&gt;3000,"High Sales",IF(Table2[[#This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2" t="str">
        <f>IF(AND(Table2[[#This Row],[customer_type]]="MEMBER",OR(Table2[[#This Row],[payment_mode]]="UPI",Table2[[#This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31" t="s">
        <v>24</v>
      </c>
      <c r="D372" s="15" t="s">
        <v>14</v>
      </c>
      <c r="E372" s="15">
        <v>3939.68</v>
      </c>
      <c r="F372" s="5" t="str">
        <f>IF(Table2[[#This Row],[sales]]&gt;3000,"High Sales",IF(Table2[[#This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2" t="str">
        <f>IF(AND(Table2[[#This Row],[customer_type]]="MEMBER",OR(Table2[[#This Row],[payment_mode]]="UPI",Table2[[#This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30" t="s">
        <v>29</v>
      </c>
      <c r="D373" s="10" t="s">
        <v>14</v>
      </c>
      <c r="E373" s="10">
        <v>1067.52</v>
      </c>
      <c r="F373" s="5" t="str">
        <f>IF(Table2[[#This Row],[sales]]&gt;3000,"High Sales",IF(Table2[[#This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2" t="str">
        <f>IF(AND(Table2[[#This Row],[customer_type]]="MEMBER",OR(Table2[[#This Row],[payment_mode]]="UPI",Table2[[#This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29" t="s">
        <v>13</v>
      </c>
      <c r="D374" s="15" t="s">
        <v>19</v>
      </c>
      <c r="E374" s="15">
        <v>2836.4</v>
      </c>
      <c r="F374" s="5" t="str">
        <f>IF(Table2[[#This Row],[sales]]&gt;3000,"High Sales",IF(Table2[[#This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2" t="str">
        <f>IF(AND(Table2[[#This Row],[customer_type]]="MEMBER",OR(Table2[[#This Row],[payment_mode]]="UPI",Table2[[#This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577</v>
      </c>
      <c r="C375" s="30" t="s">
        <v>577</v>
      </c>
      <c r="D375" s="10" t="s">
        <v>14</v>
      </c>
      <c r="E375" s="10">
        <v>654.17999999999995</v>
      </c>
      <c r="F375" s="5" t="str">
        <f>IF(Table2[[#This Row],[sales]]&gt;3000,"High Sales",IF(Table2[[#This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2" t="str">
        <f>IF(AND(Table2[[#This Row],[customer_type]]="MEMBER",OR(Table2[[#This Row],[payment_mode]]="UPI",Table2[[#This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31" t="s">
        <v>24</v>
      </c>
      <c r="D376" s="15" t="s">
        <v>37</v>
      </c>
      <c r="E376" s="15">
        <v>1871.03</v>
      </c>
      <c r="F376" s="5" t="str">
        <f>IF(Table2[[#This Row],[sales]]&gt;3000,"High Sales",IF(Table2[[#This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2" t="str">
        <f>IF(AND(Table2[[#This Row],[customer_type]]="MEMBER",OR(Table2[[#This Row],[payment_mode]]="UPI",Table2[[#This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30" t="s">
        <v>29</v>
      </c>
      <c r="D377" s="10" t="s">
        <v>34</v>
      </c>
      <c r="E377" s="10">
        <v>3332.14</v>
      </c>
      <c r="F377" s="5" t="str">
        <f>IF(Table2[[#This Row],[sales]]&gt;3000,"High Sales",IF(Table2[[#This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2" t="str">
        <f>IF(AND(Table2[[#This Row],[customer_type]]="MEMBER",OR(Table2[[#This Row],[payment_mode]]="UPI",Table2[[#This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29" t="s">
        <v>13</v>
      </c>
      <c r="D378" s="15" t="s">
        <v>34</v>
      </c>
      <c r="E378" s="15">
        <v>1717.63</v>
      </c>
      <c r="F378" s="5" t="str">
        <f>IF(Table2[[#This Row],[sales]]&gt;3000,"High Sales",IF(Table2[[#This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2" t="str">
        <f>IF(AND(Table2[[#This Row],[customer_type]]="MEMBER",OR(Table2[[#This Row],[payment_mode]]="UPI",Table2[[#This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577</v>
      </c>
      <c r="C379" s="30" t="s">
        <v>577</v>
      </c>
      <c r="D379" s="10" t="s">
        <v>34</v>
      </c>
      <c r="E379" s="10">
        <v>3318.12</v>
      </c>
      <c r="F379" s="5" t="str">
        <f>IF(Table2[[#This Row],[sales]]&gt;3000,"High Sales",IF(Table2[[#This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2" t="str">
        <f>IF(AND(Table2[[#This Row],[customer_type]]="MEMBER",OR(Table2[[#This Row],[payment_mode]]="UPI",Table2[[#This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31" t="s">
        <v>24</v>
      </c>
      <c r="D380" s="15" t="s">
        <v>37</v>
      </c>
      <c r="E380" s="15">
        <v>1299.42</v>
      </c>
      <c r="F380" s="5" t="str">
        <f>IF(Table2[[#This Row],[sales]]&gt;3000,"High Sales",IF(Table2[[#This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2" t="str">
        <f>IF(AND(Table2[[#This Row],[customer_type]]="MEMBER",OR(Table2[[#This Row],[payment_mode]]="UPI",Table2[[#This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30" t="s">
        <v>29</v>
      </c>
      <c r="D381" s="10" t="s">
        <v>34</v>
      </c>
      <c r="E381" s="10">
        <v>3633.91</v>
      </c>
      <c r="F381" s="5" t="str">
        <f>IF(Table2[[#This Row],[sales]]&gt;3000,"High Sales",IF(Table2[[#This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2" t="str">
        <f>IF(AND(Table2[[#This Row],[customer_type]]="MEMBER",OR(Table2[[#This Row],[payment_mode]]="UPI",Table2[[#This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29" t="s">
        <v>13</v>
      </c>
      <c r="D382" s="15" t="s">
        <v>19</v>
      </c>
      <c r="E382" s="15">
        <v>1861.99</v>
      </c>
      <c r="F382" s="5" t="str">
        <f>IF(Table2[[#This Row],[sales]]&gt;3000,"High Sales",IF(Table2[[#This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2" t="str">
        <f>IF(AND(Table2[[#This Row],[customer_type]]="MEMBER",OR(Table2[[#This Row],[payment_mode]]="UPI",Table2[[#This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577</v>
      </c>
      <c r="C383" s="30" t="s">
        <v>577</v>
      </c>
      <c r="D383" s="10" t="s">
        <v>37</v>
      </c>
      <c r="E383" s="10">
        <v>3973.36</v>
      </c>
      <c r="F383" s="5" t="str">
        <f>IF(Table2[[#This Row],[sales]]&gt;3000,"High Sales",IF(Table2[[#This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2" t="str">
        <f>IF(AND(Table2[[#This Row],[customer_type]]="MEMBER",OR(Table2[[#This Row],[payment_mode]]="UPI",Table2[[#This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31" t="s">
        <v>24</v>
      </c>
      <c r="D384" s="15" t="s">
        <v>37</v>
      </c>
      <c r="E384" s="15">
        <v>769.78</v>
      </c>
      <c r="F384" s="5" t="str">
        <f>IF(Table2[[#This Row],[sales]]&gt;3000,"High Sales",IF(Table2[[#This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2" t="str">
        <f>IF(AND(Table2[[#This Row],[customer_type]]="MEMBER",OR(Table2[[#This Row],[payment_mode]]="UPI",Table2[[#This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30" t="s">
        <v>29</v>
      </c>
      <c r="D385" s="10" t="s">
        <v>37</v>
      </c>
      <c r="E385" s="10">
        <v>1873.69</v>
      </c>
      <c r="F385" s="5" t="str">
        <f>IF(Table2[[#This Row],[sales]]&gt;3000,"High Sales",IF(Table2[[#This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2" t="str">
        <f>IF(AND(Table2[[#This Row],[customer_type]]="MEMBER",OR(Table2[[#This Row],[payment_mode]]="UPI",Table2[[#This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29" t="s">
        <v>13</v>
      </c>
      <c r="D386" s="15" t="s">
        <v>14</v>
      </c>
      <c r="E386" s="15">
        <v>2373.27</v>
      </c>
      <c r="F386" s="5" t="str">
        <f>IF(Table2[[#This Row],[sales]]&gt;3000,"High Sales",IF(Table2[[#This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2" t="str">
        <f>IF(AND(Table2[[#This Row],[customer_type]]="MEMBER",OR(Table2[[#This Row],[payment_mode]]="UPI",Table2[[#This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577</v>
      </c>
      <c r="C387" s="30" t="s">
        <v>577</v>
      </c>
      <c r="D387" s="10" t="s">
        <v>14</v>
      </c>
      <c r="E387" s="10">
        <v>2176.84</v>
      </c>
      <c r="F387" s="5" t="str">
        <f>IF(Table2[[#This Row],[sales]]&gt;3000,"High Sales",IF(Table2[[#This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2" t="str">
        <f>IF(AND(Table2[[#This Row],[customer_type]]="MEMBER",OR(Table2[[#This Row],[payment_mode]]="UPI",Table2[[#This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31" t="s">
        <v>24</v>
      </c>
      <c r="D388" s="15" t="s">
        <v>14</v>
      </c>
      <c r="E388" s="15">
        <v>2222.16</v>
      </c>
      <c r="F388" s="5" t="str">
        <f>IF(Table2[[#This Row],[sales]]&gt;3000,"High Sales",IF(Table2[[#This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2" t="str">
        <f>IF(AND(Table2[[#This Row],[customer_type]]="MEMBER",OR(Table2[[#This Row],[payment_mode]]="UPI",Table2[[#This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30" t="s">
        <v>29</v>
      </c>
      <c r="D389" s="10" t="s">
        <v>25</v>
      </c>
      <c r="E389" s="10">
        <v>2279.54</v>
      </c>
      <c r="F389" s="5" t="str">
        <f>IF(Table2[[#This Row],[sales]]&gt;3000,"High Sales",IF(Table2[[#This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2" t="str">
        <f>IF(AND(Table2[[#This Row],[customer_type]]="MEMBER",OR(Table2[[#This Row],[payment_mode]]="UPI",Table2[[#This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29" t="s">
        <v>13</v>
      </c>
      <c r="D390" s="15" t="s">
        <v>19</v>
      </c>
      <c r="E390" s="15">
        <v>4945.1400000000003</v>
      </c>
      <c r="F390" s="5" t="str">
        <f>IF(Table2[[#This Row],[sales]]&gt;3000,"High Sales",IF(Table2[[#This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2" t="str">
        <f>IF(AND(Table2[[#This Row],[customer_type]]="MEMBER",OR(Table2[[#This Row],[payment_mode]]="UPI",Table2[[#This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577</v>
      </c>
      <c r="C391" s="30" t="s">
        <v>577</v>
      </c>
      <c r="D391" s="10" t="s">
        <v>37</v>
      </c>
      <c r="E391" s="10">
        <v>1046.47</v>
      </c>
      <c r="F391" s="5" t="str">
        <f>IF(Table2[[#This Row],[sales]]&gt;3000,"High Sales",IF(Table2[[#This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2" t="str">
        <f>IF(AND(Table2[[#This Row],[customer_type]]="MEMBER",OR(Table2[[#This Row],[payment_mode]]="UPI",Table2[[#This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31" t="s">
        <v>24</v>
      </c>
      <c r="D392" s="15" t="s">
        <v>37</v>
      </c>
      <c r="E392" s="15">
        <v>3866.45</v>
      </c>
      <c r="F392" s="5" t="str">
        <f>IF(Table2[[#This Row],[sales]]&gt;3000,"High Sales",IF(Table2[[#This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2" t="str">
        <f>IF(AND(Table2[[#This Row],[customer_type]]="MEMBER",OR(Table2[[#This Row],[payment_mode]]="UPI",Table2[[#This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30" t="s">
        <v>29</v>
      </c>
      <c r="D393" s="10" t="s">
        <v>14</v>
      </c>
      <c r="E393" s="10">
        <v>2803.77</v>
      </c>
      <c r="F393" s="5" t="str">
        <f>IF(Table2[[#This Row],[sales]]&gt;3000,"High Sales",IF(Table2[[#This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2" t="str">
        <f>IF(AND(Table2[[#This Row],[customer_type]]="MEMBER",OR(Table2[[#This Row],[payment_mode]]="UPI",Table2[[#This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29" t="s">
        <v>13</v>
      </c>
      <c r="D394" s="15" t="s">
        <v>37</v>
      </c>
      <c r="E394" s="15">
        <v>2126.7800000000002</v>
      </c>
      <c r="F394" s="5" t="str">
        <f>IF(Table2[[#This Row],[sales]]&gt;3000,"High Sales",IF(Table2[[#This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2" t="str">
        <f>IF(AND(Table2[[#This Row],[customer_type]]="MEMBER",OR(Table2[[#This Row],[payment_mode]]="UPI",Table2[[#This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577</v>
      </c>
      <c r="C395" s="30" t="s">
        <v>577</v>
      </c>
      <c r="D395" s="10" t="s">
        <v>37</v>
      </c>
      <c r="E395" s="10">
        <v>3204.29</v>
      </c>
      <c r="F395" s="5" t="str">
        <f>IF(Table2[[#This Row],[sales]]&gt;3000,"High Sales",IF(Table2[[#This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2" t="str">
        <f>IF(AND(Table2[[#This Row],[customer_type]]="MEMBER",OR(Table2[[#This Row],[payment_mode]]="UPI",Table2[[#This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31" t="s">
        <v>24</v>
      </c>
      <c r="D396" s="15" t="s">
        <v>34</v>
      </c>
      <c r="E396" s="15">
        <v>4282.3</v>
      </c>
      <c r="F396" s="5" t="str">
        <f>IF(Table2[[#This Row],[sales]]&gt;3000,"High Sales",IF(Table2[[#This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2" t="str">
        <f>IF(AND(Table2[[#This Row],[customer_type]]="MEMBER",OR(Table2[[#This Row],[payment_mode]]="UPI",Table2[[#This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30" t="s">
        <v>29</v>
      </c>
      <c r="D397" s="10" t="s">
        <v>37</v>
      </c>
      <c r="E397" s="10">
        <v>2386.5300000000002</v>
      </c>
      <c r="F397" s="5" t="str">
        <f>IF(Table2[[#This Row],[sales]]&gt;3000,"High Sales",IF(Table2[[#This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2" t="str">
        <f>IF(AND(Table2[[#This Row],[customer_type]]="MEMBER",OR(Table2[[#This Row],[payment_mode]]="UPI",Table2[[#This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29" t="s">
        <v>13</v>
      </c>
      <c r="D398" s="15" t="s">
        <v>25</v>
      </c>
      <c r="E398" s="15">
        <v>4337.53</v>
      </c>
      <c r="F398" s="5" t="str">
        <f>IF(Table2[[#This Row],[sales]]&gt;3000,"High Sales",IF(Table2[[#This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2" t="str">
        <f>IF(AND(Table2[[#This Row],[customer_type]]="MEMBER",OR(Table2[[#This Row],[payment_mode]]="UPI",Table2[[#This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577</v>
      </c>
      <c r="C399" s="30" t="s">
        <v>577</v>
      </c>
      <c r="D399" s="10" t="s">
        <v>14</v>
      </c>
      <c r="E399" s="10">
        <v>559.61</v>
      </c>
      <c r="F399" s="5" t="str">
        <f>IF(Table2[[#This Row],[sales]]&gt;3000,"High Sales",IF(Table2[[#This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2" t="str">
        <f>IF(AND(Table2[[#This Row],[customer_type]]="MEMBER",OR(Table2[[#This Row],[payment_mode]]="UPI",Table2[[#This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31" t="s">
        <v>24</v>
      </c>
      <c r="D400" s="15" t="s">
        <v>19</v>
      </c>
      <c r="E400" s="15">
        <v>3300.11</v>
      </c>
      <c r="F400" s="5" t="str">
        <f>IF(Table2[[#This Row],[sales]]&gt;3000,"High Sales",IF(Table2[[#This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2" t="str">
        <f>IF(AND(Table2[[#This Row],[customer_type]]="MEMBER",OR(Table2[[#This Row],[payment_mode]]="UPI",Table2[[#This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30" t="s">
        <v>29</v>
      </c>
      <c r="D401" s="10" t="s">
        <v>19</v>
      </c>
      <c r="E401" s="10">
        <v>1732.58</v>
      </c>
      <c r="F401" s="5" t="str">
        <f>IF(Table2[[#This Row],[sales]]&gt;3000,"High Sales",IF(Table2[[#This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2" t="str">
        <f>IF(AND(Table2[[#This Row],[customer_type]]="MEMBER",OR(Table2[[#This Row],[payment_mode]]="UPI",Table2[[#This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29" t="s">
        <v>13</v>
      </c>
      <c r="D402" s="15" t="s">
        <v>34</v>
      </c>
      <c r="E402" s="15">
        <v>1994.91</v>
      </c>
      <c r="F402" s="5" t="str">
        <f>IF(Table2[[#This Row],[sales]]&gt;3000,"High Sales",IF(Table2[[#This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2" t="str">
        <f>IF(AND(Table2[[#This Row],[customer_type]]="MEMBER",OR(Table2[[#This Row],[payment_mode]]="UPI",Table2[[#This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577</v>
      </c>
      <c r="C403" s="30" t="s">
        <v>577</v>
      </c>
      <c r="D403" s="10" t="s">
        <v>19</v>
      </c>
      <c r="E403" s="10">
        <v>2898</v>
      </c>
      <c r="F403" s="5" t="str">
        <f>IF(Table2[[#This Row],[sales]]&gt;3000,"High Sales",IF(Table2[[#This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2" t="str">
        <f>IF(AND(Table2[[#This Row],[customer_type]]="MEMBER",OR(Table2[[#This Row],[payment_mode]]="UPI",Table2[[#This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31" t="s">
        <v>24</v>
      </c>
      <c r="D404" s="15" t="s">
        <v>19</v>
      </c>
      <c r="E404" s="15">
        <v>2451.59</v>
      </c>
      <c r="F404" s="5" t="str">
        <f>IF(Table2[[#This Row],[sales]]&gt;3000,"High Sales",IF(Table2[[#This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2" t="str">
        <f>IF(AND(Table2[[#This Row],[customer_type]]="MEMBER",OR(Table2[[#This Row],[payment_mode]]="UPI",Table2[[#This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30" t="s">
        <v>29</v>
      </c>
      <c r="D405" s="10" t="s">
        <v>14</v>
      </c>
      <c r="E405" s="10">
        <v>1970.72</v>
      </c>
      <c r="F405" s="5" t="str">
        <f>IF(Table2[[#This Row],[sales]]&gt;3000,"High Sales",IF(Table2[[#This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2" t="str">
        <f>IF(AND(Table2[[#This Row],[customer_type]]="MEMBER",OR(Table2[[#This Row],[payment_mode]]="UPI",Table2[[#This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29" t="s">
        <v>13</v>
      </c>
      <c r="D406" s="15" t="s">
        <v>14</v>
      </c>
      <c r="E406" s="15">
        <v>1610.78</v>
      </c>
      <c r="F406" s="5" t="str">
        <f>IF(Table2[[#This Row],[sales]]&gt;3000,"High Sales",IF(Table2[[#This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2" t="str">
        <f>IF(AND(Table2[[#This Row],[customer_type]]="MEMBER",OR(Table2[[#This Row],[payment_mode]]="UPI",Table2[[#This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577</v>
      </c>
      <c r="C407" s="30" t="s">
        <v>577</v>
      </c>
      <c r="D407" s="10" t="s">
        <v>25</v>
      </c>
      <c r="E407" s="10">
        <v>3129.74</v>
      </c>
      <c r="F407" s="5" t="str">
        <f>IF(Table2[[#This Row],[sales]]&gt;3000,"High Sales",IF(Table2[[#This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2" t="str">
        <f>IF(AND(Table2[[#This Row],[customer_type]]="MEMBER",OR(Table2[[#This Row],[payment_mode]]="UPI",Table2[[#This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31" t="s">
        <v>24</v>
      </c>
      <c r="D408" s="15" t="s">
        <v>34</v>
      </c>
      <c r="E408" s="15">
        <v>2577.34</v>
      </c>
      <c r="F408" s="5" t="str">
        <f>IF(Table2[[#This Row],[sales]]&gt;3000,"High Sales",IF(Table2[[#This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2" t="str">
        <f>IF(AND(Table2[[#This Row],[customer_type]]="MEMBER",OR(Table2[[#This Row],[payment_mode]]="UPI",Table2[[#This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30" t="s">
        <v>29</v>
      </c>
      <c r="D409" s="10" t="s">
        <v>19</v>
      </c>
      <c r="E409" s="10">
        <v>1684.21</v>
      </c>
      <c r="F409" s="5" t="str">
        <f>IF(Table2[[#This Row],[sales]]&gt;3000,"High Sales",IF(Table2[[#This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2" t="str">
        <f>IF(AND(Table2[[#This Row],[customer_type]]="MEMBER",OR(Table2[[#This Row],[payment_mode]]="UPI",Table2[[#This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29" t="s">
        <v>13</v>
      </c>
      <c r="D410" s="15" t="s">
        <v>25</v>
      </c>
      <c r="E410" s="15">
        <v>1104.31</v>
      </c>
      <c r="F410" s="5" t="str">
        <f>IF(Table2[[#This Row],[sales]]&gt;3000,"High Sales",IF(Table2[[#This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2" t="str">
        <f>IF(AND(Table2[[#This Row],[customer_type]]="MEMBER",OR(Table2[[#This Row],[payment_mode]]="UPI",Table2[[#This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577</v>
      </c>
      <c r="C411" s="30" t="s">
        <v>577</v>
      </c>
      <c r="D411" s="10" t="s">
        <v>34</v>
      </c>
      <c r="E411" s="10">
        <v>3894.89</v>
      </c>
      <c r="F411" s="5" t="str">
        <f>IF(Table2[[#This Row],[sales]]&gt;3000,"High Sales",IF(Table2[[#This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2" t="str">
        <f>IF(AND(Table2[[#This Row],[customer_type]]="MEMBER",OR(Table2[[#This Row],[payment_mode]]="UPI",Table2[[#This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31" t="s">
        <v>24</v>
      </c>
      <c r="D412" s="15" t="s">
        <v>19</v>
      </c>
      <c r="E412" s="15">
        <v>4018.6</v>
      </c>
      <c r="F412" s="5" t="str">
        <f>IF(Table2[[#This Row],[sales]]&gt;3000,"High Sales",IF(Table2[[#This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2" t="str">
        <f>IF(AND(Table2[[#This Row],[customer_type]]="MEMBER",OR(Table2[[#This Row],[payment_mode]]="UPI",Table2[[#This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30" t="s">
        <v>29</v>
      </c>
      <c r="D413" s="10" t="s">
        <v>19</v>
      </c>
      <c r="E413" s="10">
        <v>1147.56</v>
      </c>
      <c r="F413" s="5" t="str">
        <f>IF(Table2[[#This Row],[sales]]&gt;3000,"High Sales",IF(Table2[[#This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2" t="str">
        <f>IF(AND(Table2[[#This Row],[customer_type]]="MEMBER",OR(Table2[[#This Row],[payment_mode]]="UPI",Table2[[#This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29" t="s">
        <v>13</v>
      </c>
      <c r="D414" s="15" t="s">
        <v>14</v>
      </c>
      <c r="E414" s="15">
        <v>1382.08</v>
      </c>
      <c r="F414" s="5" t="str">
        <f>IF(Table2[[#This Row],[sales]]&gt;3000,"High Sales",IF(Table2[[#This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2" t="str">
        <f>IF(AND(Table2[[#This Row],[customer_type]]="MEMBER",OR(Table2[[#This Row],[payment_mode]]="UPI",Table2[[#This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577</v>
      </c>
      <c r="C415" s="30" t="s">
        <v>577</v>
      </c>
      <c r="D415" s="10" t="s">
        <v>37</v>
      </c>
      <c r="E415" s="10">
        <v>1271.8</v>
      </c>
      <c r="F415" s="5" t="str">
        <f>IF(Table2[[#This Row],[sales]]&gt;3000,"High Sales",IF(Table2[[#This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2" t="str">
        <f>IF(AND(Table2[[#This Row],[customer_type]]="MEMBER",OR(Table2[[#This Row],[payment_mode]]="UPI",Table2[[#This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31" t="s">
        <v>24</v>
      </c>
      <c r="D416" s="15" t="s">
        <v>34</v>
      </c>
      <c r="E416" s="15">
        <v>4434.3900000000003</v>
      </c>
      <c r="F416" s="5" t="str">
        <f>IF(Table2[[#This Row],[sales]]&gt;3000,"High Sales",IF(Table2[[#This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2" t="str">
        <f>IF(AND(Table2[[#This Row],[customer_type]]="MEMBER",OR(Table2[[#This Row],[payment_mode]]="UPI",Table2[[#This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30" t="s">
        <v>29</v>
      </c>
      <c r="D417" s="10" t="s">
        <v>19</v>
      </c>
      <c r="E417" s="10">
        <v>3893.24</v>
      </c>
      <c r="F417" s="5" t="str">
        <f>IF(Table2[[#This Row],[sales]]&gt;3000,"High Sales",IF(Table2[[#This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2" t="str">
        <f>IF(AND(Table2[[#This Row],[customer_type]]="MEMBER",OR(Table2[[#This Row],[payment_mode]]="UPI",Table2[[#This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29" t="s">
        <v>13</v>
      </c>
      <c r="D418" s="15" t="s">
        <v>34</v>
      </c>
      <c r="E418" s="15">
        <v>465.41</v>
      </c>
      <c r="F418" s="5" t="str">
        <f>IF(Table2[[#This Row],[sales]]&gt;3000,"High Sales",IF(Table2[[#This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2" t="str">
        <f>IF(AND(Table2[[#This Row],[customer_type]]="MEMBER",OR(Table2[[#This Row],[payment_mode]]="UPI",Table2[[#This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577</v>
      </c>
      <c r="C419" s="30" t="s">
        <v>577</v>
      </c>
      <c r="D419" s="10" t="s">
        <v>25</v>
      </c>
      <c r="E419" s="10">
        <v>4180.0600000000004</v>
      </c>
      <c r="F419" s="5" t="str">
        <f>IF(Table2[[#This Row],[sales]]&gt;3000,"High Sales",IF(Table2[[#This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2" t="str">
        <f>IF(AND(Table2[[#This Row],[customer_type]]="MEMBER",OR(Table2[[#This Row],[payment_mode]]="UPI",Table2[[#This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31" t="s">
        <v>24</v>
      </c>
      <c r="D420" s="15" t="s">
        <v>25</v>
      </c>
      <c r="E420" s="15">
        <v>280.57</v>
      </c>
      <c r="F420" s="5" t="str">
        <f>IF(Table2[[#This Row],[sales]]&gt;3000,"High Sales",IF(Table2[[#This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2" t="str">
        <f>IF(AND(Table2[[#This Row],[customer_type]]="MEMBER",OR(Table2[[#This Row],[payment_mode]]="UPI",Table2[[#This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30" t="s">
        <v>29</v>
      </c>
      <c r="D421" s="10" t="s">
        <v>37</v>
      </c>
      <c r="E421" s="10">
        <v>1340.68</v>
      </c>
      <c r="F421" s="5" t="str">
        <f>IF(Table2[[#This Row],[sales]]&gt;3000,"High Sales",IF(Table2[[#This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2" t="str">
        <f>IF(AND(Table2[[#This Row],[customer_type]]="MEMBER",OR(Table2[[#This Row],[payment_mode]]="UPI",Table2[[#This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29" t="s">
        <v>13</v>
      </c>
      <c r="D422" s="15" t="s">
        <v>19</v>
      </c>
      <c r="E422" s="15">
        <v>4603.0600000000004</v>
      </c>
      <c r="F422" s="5" t="str">
        <f>IF(Table2[[#This Row],[sales]]&gt;3000,"High Sales",IF(Table2[[#This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2" t="str">
        <f>IF(AND(Table2[[#This Row],[customer_type]]="MEMBER",OR(Table2[[#This Row],[payment_mode]]="UPI",Table2[[#This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577</v>
      </c>
      <c r="C423" s="30" t="s">
        <v>577</v>
      </c>
      <c r="D423" s="10" t="s">
        <v>14</v>
      </c>
      <c r="E423" s="10">
        <v>4335.22</v>
      </c>
      <c r="F423" s="5" t="str">
        <f>IF(Table2[[#This Row],[sales]]&gt;3000,"High Sales",IF(Table2[[#This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2" t="str">
        <f>IF(AND(Table2[[#This Row],[customer_type]]="MEMBER",OR(Table2[[#This Row],[payment_mode]]="UPI",Table2[[#This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31" t="s">
        <v>24</v>
      </c>
      <c r="D424" s="15" t="s">
        <v>19</v>
      </c>
      <c r="E424" s="15">
        <v>3929.03</v>
      </c>
      <c r="F424" s="5" t="str">
        <f>IF(Table2[[#This Row],[sales]]&gt;3000,"High Sales",IF(Table2[[#This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2" t="str">
        <f>IF(AND(Table2[[#This Row],[customer_type]]="MEMBER",OR(Table2[[#This Row],[payment_mode]]="UPI",Table2[[#This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30" t="s">
        <v>29</v>
      </c>
      <c r="D425" s="10" t="s">
        <v>34</v>
      </c>
      <c r="E425" s="10">
        <v>2341.98</v>
      </c>
      <c r="F425" s="5" t="str">
        <f>IF(Table2[[#This Row],[sales]]&gt;3000,"High Sales",IF(Table2[[#This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2" t="str">
        <f>IF(AND(Table2[[#This Row],[customer_type]]="MEMBER",OR(Table2[[#This Row],[payment_mode]]="UPI",Table2[[#This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29" t="s">
        <v>13</v>
      </c>
      <c r="D426" s="15" t="s">
        <v>25</v>
      </c>
      <c r="E426" s="15">
        <v>1674.93</v>
      </c>
      <c r="F426" s="5" t="str">
        <f>IF(Table2[[#This Row],[sales]]&gt;3000,"High Sales",IF(Table2[[#This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2" t="str">
        <f>IF(AND(Table2[[#This Row],[customer_type]]="MEMBER",OR(Table2[[#This Row],[payment_mode]]="UPI",Table2[[#This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577</v>
      </c>
      <c r="C427" s="30" t="s">
        <v>577</v>
      </c>
      <c r="D427" s="10" t="s">
        <v>34</v>
      </c>
      <c r="E427" s="10">
        <v>4419.57</v>
      </c>
      <c r="F427" s="5" t="str">
        <f>IF(Table2[[#This Row],[sales]]&gt;3000,"High Sales",IF(Table2[[#This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2" t="str">
        <f>IF(AND(Table2[[#This Row],[customer_type]]="MEMBER",OR(Table2[[#This Row],[payment_mode]]="UPI",Table2[[#This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31" t="s">
        <v>24</v>
      </c>
      <c r="D428" s="15" t="s">
        <v>37</v>
      </c>
      <c r="E428" s="15">
        <v>3319.66</v>
      </c>
      <c r="F428" s="5" t="str">
        <f>IF(Table2[[#This Row],[sales]]&gt;3000,"High Sales",IF(Table2[[#This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2" t="str">
        <f>IF(AND(Table2[[#This Row],[customer_type]]="MEMBER",OR(Table2[[#This Row],[payment_mode]]="UPI",Table2[[#This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30" t="s">
        <v>29</v>
      </c>
      <c r="D429" s="10" t="s">
        <v>25</v>
      </c>
      <c r="E429" s="10">
        <v>1547.99</v>
      </c>
      <c r="F429" s="5" t="str">
        <f>IF(Table2[[#This Row],[sales]]&gt;3000,"High Sales",IF(Table2[[#This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2" t="str">
        <f>IF(AND(Table2[[#This Row],[customer_type]]="MEMBER",OR(Table2[[#This Row],[payment_mode]]="UPI",Table2[[#This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29" t="s">
        <v>13</v>
      </c>
      <c r="D430" s="15" t="s">
        <v>14</v>
      </c>
      <c r="E430" s="15">
        <v>2369.66</v>
      </c>
      <c r="F430" s="5" t="str">
        <f>IF(Table2[[#This Row],[sales]]&gt;3000,"High Sales",IF(Table2[[#This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2" t="str">
        <f>IF(AND(Table2[[#This Row],[customer_type]]="MEMBER",OR(Table2[[#This Row],[payment_mode]]="UPI",Table2[[#This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577</v>
      </c>
      <c r="C431" s="30" t="s">
        <v>577</v>
      </c>
      <c r="D431" s="10" t="s">
        <v>25</v>
      </c>
      <c r="E431" s="10">
        <v>4419.3500000000004</v>
      </c>
      <c r="F431" s="5" t="str">
        <f>IF(Table2[[#This Row],[sales]]&gt;3000,"High Sales",IF(Table2[[#This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2" t="str">
        <f>IF(AND(Table2[[#This Row],[customer_type]]="MEMBER",OR(Table2[[#This Row],[payment_mode]]="UPI",Table2[[#This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31" t="s">
        <v>24</v>
      </c>
      <c r="D432" s="15" t="s">
        <v>19</v>
      </c>
      <c r="E432" s="15">
        <v>4526.93</v>
      </c>
      <c r="F432" s="5" t="str">
        <f>IF(Table2[[#This Row],[sales]]&gt;3000,"High Sales",IF(Table2[[#This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2" t="str">
        <f>IF(AND(Table2[[#This Row],[customer_type]]="MEMBER",OR(Table2[[#This Row],[payment_mode]]="UPI",Table2[[#This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30" t="s">
        <v>29</v>
      </c>
      <c r="D433" s="10" t="s">
        <v>19</v>
      </c>
      <c r="E433" s="10">
        <v>3330.58</v>
      </c>
      <c r="F433" s="5" t="str">
        <f>IF(Table2[[#This Row],[sales]]&gt;3000,"High Sales",IF(Table2[[#This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2" t="str">
        <f>IF(AND(Table2[[#This Row],[customer_type]]="MEMBER",OR(Table2[[#This Row],[payment_mode]]="UPI",Table2[[#This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29" t="s">
        <v>13</v>
      </c>
      <c r="D434" s="15" t="s">
        <v>25</v>
      </c>
      <c r="E434" s="15">
        <v>3689.52</v>
      </c>
      <c r="F434" s="5" t="str">
        <f>IF(Table2[[#This Row],[sales]]&gt;3000,"High Sales",IF(Table2[[#This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2" t="str">
        <f>IF(AND(Table2[[#This Row],[customer_type]]="MEMBER",OR(Table2[[#This Row],[payment_mode]]="UPI",Table2[[#This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577</v>
      </c>
      <c r="C435" s="30" t="s">
        <v>577</v>
      </c>
      <c r="D435" s="10" t="s">
        <v>37</v>
      </c>
      <c r="E435" s="10">
        <v>292.56</v>
      </c>
      <c r="F435" s="5" t="str">
        <f>IF(Table2[[#This Row],[sales]]&gt;3000,"High Sales",IF(Table2[[#This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2" t="str">
        <f>IF(AND(Table2[[#This Row],[customer_type]]="MEMBER",OR(Table2[[#This Row],[payment_mode]]="UPI",Table2[[#This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31" t="s">
        <v>24</v>
      </c>
      <c r="D436" s="15" t="s">
        <v>19</v>
      </c>
      <c r="E436" s="15">
        <v>3062.54</v>
      </c>
      <c r="F436" s="5" t="str">
        <f>IF(Table2[[#This Row],[sales]]&gt;3000,"High Sales",IF(Table2[[#This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2" t="str">
        <f>IF(AND(Table2[[#This Row],[customer_type]]="MEMBER",OR(Table2[[#This Row],[payment_mode]]="UPI",Table2[[#This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30" t="s">
        <v>29</v>
      </c>
      <c r="D437" s="10" t="s">
        <v>19</v>
      </c>
      <c r="E437" s="10">
        <v>3476.06</v>
      </c>
      <c r="F437" s="5" t="str">
        <f>IF(Table2[[#This Row],[sales]]&gt;3000,"High Sales",IF(Table2[[#This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2" t="str">
        <f>IF(AND(Table2[[#This Row],[customer_type]]="MEMBER",OR(Table2[[#This Row],[payment_mode]]="UPI",Table2[[#This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29" t="s">
        <v>13</v>
      </c>
      <c r="D438" s="15" t="s">
        <v>14</v>
      </c>
      <c r="E438" s="15">
        <v>199.85</v>
      </c>
      <c r="F438" s="5" t="str">
        <f>IF(Table2[[#This Row],[sales]]&gt;3000,"High Sales",IF(Table2[[#This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2" t="str">
        <f>IF(AND(Table2[[#This Row],[customer_type]]="MEMBER",OR(Table2[[#This Row],[payment_mode]]="UPI",Table2[[#This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577</v>
      </c>
      <c r="C439" s="30" t="s">
        <v>577</v>
      </c>
      <c r="D439" s="10" t="s">
        <v>25</v>
      </c>
      <c r="E439" s="10">
        <v>4234.91</v>
      </c>
      <c r="F439" s="5" t="str">
        <f>IF(Table2[[#This Row],[sales]]&gt;3000,"High Sales",IF(Table2[[#This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2" t="str">
        <f>IF(AND(Table2[[#This Row],[customer_type]]="MEMBER",OR(Table2[[#This Row],[payment_mode]]="UPI",Table2[[#This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31" t="s">
        <v>24</v>
      </c>
      <c r="D440" s="15" t="s">
        <v>19</v>
      </c>
      <c r="E440" s="15">
        <v>4648.6000000000004</v>
      </c>
      <c r="F440" s="5" t="str">
        <f>IF(Table2[[#This Row],[sales]]&gt;3000,"High Sales",IF(Table2[[#This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2" t="str">
        <f>IF(AND(Table2[[#This Row],[customer_type]]="MEMBER",OR(Table2[[#This Row],[payment_mode]]="UPI",Table2[[#This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30" t="s">
        <v>29</v>
      </c>
      <c r="D441" s="10" t="s">
        <v>37</v>
      </c>
      <c r="E441" s="10">
        <v>1265.8900000000001</v>
      </c>
      <c r="F441" s="5" t="str">
        <f>IF(Table2[[#This Row],[sales]]&gt;3000,"High Sales",IF(Table2[[#This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2" t="str">
        <f>IF(AND(Table2[[#This Row],[customer_type]]="MEMBER",OR(Table2[[#This Row],[payment_mode]]="UPI",Table2[[#This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29" t="s">
        <v>13</v>
      </c>
      <c r="D442" s="15" t="s">
        <v>34</v>
      </c>
      <c r="E442" s="15">
        <v>4244.3999999999996</v>
      </c>
      <c r="F442" s="5" t="str">
        <f>IF(Table2[[#This Row],[sales]]&gt;3000,"High Sales",IF(Table2[[#This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2" t="str">
        <f>IF(AND(Table2[[#This Row],[customer_type]]="MEMBER",OR(Table2[[#This Row],[payment_mode]]="UPI",Table2[[#This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577</v>
      </c>
      <c r="C443" s="30" t="s">
        <v>577</v>
      </c>
      <c r="D443" s="10" t="s">
        <v>25</v>
      </c>
      <c r="E443" s="10">
        <v>3361.01</v>
      </c>
      <c r="F443" s="5" t="str">
        <f>IF(Table2[[#This Row],[sales]]&gt;3000,"High Sales",IF(Table2[[#This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2" t="str">
        <f>IF(AND(Table2[[#This Row],[customer_type]]="MEMBER",OR(Table2[[#This Row],[payment_mode]]="UPI",Table2[[#This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31" t="s">
        <v>24</v>
      </c>
      <c r="D444" s="15" t="s">
        <v>14</v>
      </c>
      <c r="E444" s="15">
        <v>2945.41</v>
      </c>
      <c r="F444" s="5" t="str">
        <f>IF(Table2[[#This Row],[sales]]&gt;3000,"High Sales",IF(Table2[[#This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2" t="str">
        <f>IF(AND(Table2[[#This Row],[customer_type]]="MEMBER",OR(Table2[[#This Row],[payment_mode]]="UPI",Table2[[#This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30" t="s">
        <v>29</v>
      </c>
      <c r="D445" s="10" t="s">
        <v>19</v>
      </c>
      <c r="E445" s="10">
        <v>4231.32</v>
      </c>
      <c r="F445" s="5" t="str">
        <f>IF(Table2[[#This Row],[sales]]&gt;3000,"High Sales",IF(Table2[[#This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2" t="str">
        <f>IF(AND(Table2[[#This Row],[customer_type]]="MEMBER",OR(Table2[[#This Row],[payment_mode]]="UPI",Table2[[#This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29" t="s">
        <v>13</v>
      </c>
      <c r="D446" s="15" t="s">
        <v>37</v>
      </c>
      <c r="E446" s="15">
        <v>1499.49</v>
      </c>
      <c r="F446" s="5" t="str">
        <f>IF(Table2[[#This Row],[sales]]&gt;3000,"High Sales",IF(Table2[[#This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2" t="str">
        <f>IF(AND(Table2[[#This Row],[customer_type]]="MEMBER",OR(Table2[[#This Row],[payment_mode]]="UPI",Table2[[#This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577</v>
      </c>
      <c r="C447" s="30" t="s">
        <v>577</v>
      </c>
      <c r="D447" s="10" t="s">
        <v>25</v>
      </c>
      <c r="E447" s="10">
        <v>3975.2</v>
      </c>
      <c r="F447" s="5" t="str">
        <f>IF(Table2[[#This Row],[sales]]&gt;3000,"High Sales",IF(Table2[[#This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2" t="str">
        <f>IF(AND(Table2[[#This Row],[customer_type]]="MEMBER",OR(Table2[[#This Row],[payment_mode]]="UPI",Table2[[#This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31" t="s">
        <v>24</v>
      </c>
      <c r="D448" s="15" t="s">
        <v>37</v>
      </c>
      <c r="E448" s="15">
        <v>1641.15</v>
      </c>
      <c r="F448" s="5" t="str">
        <f>IF(Table2[[#This Row],[sales]]&gt;3000,"High Sales",IF(Table2[[#This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2" t="str">
        <f>IF(AND(Table2[[#This Row],[customer_type]]="MEMBER",OR(Table2[[#This Row],[payment_mode]]="UPI",Table2[[#This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30" t="s">
        <v>29</v>
      </c>
      <c r="D449" s="10" t="s">
        <v>37</v>
      </c>
      <c r="E449" s="10">
        <v>3958.54</v>
      </c>
      <c r="F449" s="5" t="str">
        <f>IF(Table2[[#This Row],[sales]]&gt;3000,"High Sales",IF(Table2[[#This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2" t="str">
        <f>IF(AND(Table2[[#This Row],[customer_type]]="MEMBER",OR(Table2[[#This Row],[payment_mode]]="UPI",Table2[[#This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29" t="s">
        <v>13</v>
      </c>
      <c r="D450" s="15" t="s">
        <v>14</v>
      </c>
      <c r="E450" s="15">
        <v>2310.16</v>
      </c>
      <c r="F450" s="5" t="str">
        <f>IF(Table2[[#This Row],[sales]]&gt;3000,"High Sales",IF(Table2[[#This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2" t="str">
        <f>IF(AND(Table2[[#This Row],[customer_type]]="MEMBER",OR(Table2[[#This Row],[payment_mode]]="UPI",Table2[[#This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577</v>
      </c>
      <c r="C451" s="30" t="s">
        <v>577</v>
      </c>
      <c r="D451" s="10" t="s">
        <v>25</v>
      </c>
      <c r="E451" s="10">
        <v>673.03</v>
      </c>
      <c r="F451" s="5" t="str">
        <f>IF(Table2[[#This Row],[sales]]&gt;3000,"High Sales",IF(Table2[[#This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2" t="str">
        <f>IF(AND(Table2[[#This Row],[customer_type]]="MEMBER",OR(Table2[[#This Row],[payment_mode]]="UPI",Table2[[#This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31" t="s">
        <v>24</v>
      </c>
      <c r="D452" s="15" t="s">
        <v>19</v>
      </c>
      <c r="E452" s="15">
        <v>1969.45</v>
      </c>
      <c r="F452" s="5" t="str">
        <f>IF(Table2[[#This Row],[sales]]&gt;3000,"High Sales",IF(Table2[[#This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2" t="str">
        <f>IF(AND(Table2[[#This Row],[customer_type]]="MEMBER",OR(Table2[[#This Row],[payment_mode]]="UPI",Table2[[#This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30" t="s">
        <v>29</v>
      </c>
      <c r="D453" s="10" t="s">
        <v>14</v>
      </c>
      <c r="E453" s="10">
        <v>1244.1199999999999</v>
      </c>
      <c r="F453" s="5" t="str">
        <f>IF(Table2[[#This Row],[sales]]&gt;3000,"High Sales",IF(Table2[[#This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2" t="str">
        <f>IF(AND(Table2[[#This Row],[customer_type]]="MEMBER",OR(Table2[[#This Row],[payment_mode]]="UPI",Table2[[#This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29" t="s">
        <v>13</v>
      </c>
      <c r="D454" s="15" t="s">
        <v>19</v>
      </c>
      <c r="E454" s="15">
        <v>592.6</v>
      </c>
      <c r="F454" s="5" t="str">
        <f>IF(Table2[[#This Row],[sales]]&gt;3000,"High Sales",IF(Table2[[#This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2" t="str">
        <f>IF(AND(Table2[[#This Row],[customer_type]]="MEMBER",OR(Table2[[#This Row],[payment_mode]]="UPI",Table2[[#This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577</v>
      </c>
      <c r="C455" s="30" t="s">
        <v>577</v>
      </c>
      <c r="D455" s="10" t="s">
        <v>34</v>
      </c>
      <c r="E455" s="10">
        <v>640.41</v>
      </c>
      <c r="F455" s="5" t="str">
        <f>IF(Table2[[#This Row],[sales]]&gt;3000,"High Sales",IF(Table2[[#This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2" t="str">
        <f>IF(AND(Table2[[#This Row],[customer_type]]="MEMBER",OR(Table2[[#This Row],[payment_mode]]="UPI",Table2[[#This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31" t="s">
        <v>24</v>
      </c>
      <c r="D456" s="15" t="s">
        <v>37</v>
      </c>
      <c r="E456" s="15">
        <v>3922.35</v>
      </c>
      <c r="F456" s="5" t="str">
        <f>IF(Table2[[#This Row],[sales]]&gt;3000,"High Sales",IF(Table2[[#This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2" t="str">
        <f>IF(AND(Table2[[#This Row],[customer_type]]="MEMBER",OR(Table2[[#This Row],[payment_mode]]="UPI",Table2[[#This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30" t="s">
        <v>29</v>
      </c>
      <c r="D457" s="10" t="s">
        <v>34</v>
      </c>
      <c r="E457" s="10">
        <v>4418.8500000000004</v>
      </c>
      <c r="F457" s="5" t="str">
        <f>IF(Table2[[#This Row],[sales]]&gt;3000,"High Sales",IF(Table2[[#This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2" t="str">
        <f>IF(AND(Table2[[#This Row],[customer_type]]="MEMBER",OR(Table2[[#This Row],[payment_mode]]="UPI",Table2[[#This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29" t="s">
        <v>13</v>
      </c>
      <c r="D458" s="15" t="s">
        <v>37</v>
      </c>
      <c r="E458" s="15">
        <v>4642.93</v>
      </c>
      <c r="F458" s="5" t="str">
        <f>IF(Table2[[#This Row],[sales]]&gt;3000,"High Sales",IF(Table2[[#This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2" t="str">
        <f>IF(AND(Table2[[#This Row],[customer_type]]="MEMBER",OR(Table2[[#This Row],[payment_mode]]="UPI",Table2[[#This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577</v>
      </c>
      <c r="C459" s="30" t="s">
        <v>577</v>
      </c>
      <c r="D459" s="10" t="s">
        <v>14</v>
      </c>
      <c r="E459" s="10">
        <v>4284.34</v>
      </c>
      <c r="F459" s="5" t="str">
        <f>IF(Table2[[#This Row],[sales]]&gt;3000,"High Sales",IF(Table2[[#This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2" t="str">
        <f>IF(AND(Table2[[#This Row],[customer_type]]="MEMBER",OR(Table2[[#This Row],[payment_mode]]="UPI",Table2[[#This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31" t="s">
        <v>24</v>
      </c>
      <c r="D460" s="15" t="s">
        <v>19</v>
      </c>
      <c r="E460" s="15">
        <v>4168.1000000000004</v>
      </c>
      <c r="F460" s="5" t="str">
        <f>IF(Table2[[#This Row],[sales]]&gt;3000,"High Sales",IF(Table2[[#This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2" t="str">
        <f>IF(AND(Table2[[#This Row],[customer_type]]="MEMBER",OR(Table2[[#This Row],[payment_mode]]="UPI",Table2[[#This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30" t="s">
        <v>29</v>
      </c>
      <c r="D461" s="10" t="s">
        <v>19</v>
      </c>
      <c r="E461" s="10">
        <v>437.3</v>
      </c>
      <c r="F461" s="5" t="str">
        <f>IF(Table2[[#This Row],[sales]]&gt;3000,"High Sales",IF(Table2[[#This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2" t="str">
        <f>IF(AND(Table2[[#This Row],[customer_type]]="MEMBER",OR(Table2[[#This Row],[payment_mode]]="UPI",Table2[[#This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29" t="s">
        <v>13</v>
      </c>
      <c r="D462" s="15" t="s">
        <v>14</v>
      </c>
      <c r="E462" s="15">
        <v>3971.61</v>
      </c>
      <c r="F462" s="5" t="str">
        <f>IF(Table2[[#This Row],[sales]]&gt;3000,"High Sales",IF(Table2[[#This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2" t="str">
        <f>IF(AND(Table2[[#This Row],[customer_type]]="MEMBER",OR(Table2[[#This Row],[payment_mode]]="UPI",Table2[[#This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577</v>
      </c>
      <c r="C463" s="30" t="s">
        <v>577</v>
      </c>
      <c r="D463" s="10" t="s">
        <v>25</v>
      </c>
      <c r="E463" s="10">
        <v>3938.09</v>
      </c>
      <c r="F463" s="5" t="str">
        <f>IF(Table2[[#This Row],[sales]]&gt;3000,"High Sales",IF(Table2[[#This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2" t="str">
        <f>IF(AND(Table2[[#This Row],[customer_type]]="MEMBER",OR(Table2[[#This Row],[payment_mode]]="UPI",Table2[[#This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31" t="s">
        <v>24</v>
      </c>
      <c r="D464" s="15" t="s">
        <v>34</v>
      </c>
      <c r="E464" s="15">
        <v>743.32</v>
      </c>
      <c r="F464" s="5" t="str">
        <f>IF(Table2[[#This Row],[sales]]&gt;3000,"High Sales",IF(Table2[[#This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2" t="str">
        <f>IF(AND(Table2[[#This Row],[customer_type]]="MEMBER",OR(Table2[[#This Row],[payment_mode]]="UPI",Table2[[#This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30" t="s">
        <v>29</v>
      </c>
      <c r="D465" s="10" t="s">
        <v>34</v>
      </c>
      <c r="E465" s="10">
        <v>3343.85</v>
      </c>
      <c r="F465" s="5" t="str">
        <f>IF(Table2[[#This Row],[sales]]&gt;3000,"High Sales",IF(Table2[[#This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2" t="str">
        <f>IF(AND(Table2[[#This Row],[customer_type]]="MEMBER",OR(Table2[[#This Row],[payment_mode]]="UPI",Table2[[#This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29" t="s">
        <v>13</v>
      </c>
      <c r="D466" s="15" t="s">
        <v>19</v>
      </c>
      <c r="E466" s="15">
        <v>2317.29</v>
      </c>
      <c r="F466" s="5" t="str">
        <f>IF(Table2[[#This Row],[sales]]&gt;3000,"High Sales",IF(Table2[[#This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2" t="str">
        <f>IF(AND(Table2[[#This Row],[customer_type]]="MEMBER",OR(Table2[[#This Row],[payment_mode]]="UPI",Table2[[#This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577</v>
      </c>
      <c r="C467" s="30" t="s">
        <v>577</v>
      </c>
      <c r="D467" s="10" t="s">
        <v>19</v>
      </c>
      <c r="E467" s="10">
        <v>4510.07</v>
      </c>
      <c r="F467" s="5" t="str">
        <f>IF(Table2[[#This Row],[sales]]&gt;3000,"High Sales",IF(Table2[[#This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2" t="str">
        <f>IF(AND(Table2[[#This Row],[customer_type]]="MEMBER",OR(Table2[[#This Row],[payment_mode]]="UPI",Table2[[#This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31" t="s">
        <v>24</v>
      </c>
      <c r="D468" s="15" t="s">
        <v>19</v>
      </c>
      <c r="E468" s="15">
        <v>3507.5</v>
      </c>
      <c r="F468" s="5" t="str">
        <f>IF(Table2[[#This Row],[sales]]&gt;3000,"High Sales",IF(Table2[[#This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2" t="str">
        <f>IF(AND(Table2[[#This Row],[customer_type]]="MEMBER",OR(Table2[[#This Row],[payment_mode]]="UPI",Table2[[#This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30" t="s">
        <v>29</v>
      </c>
      <c r="D469" s="10" t="s">
        <v>14</v>
      </c>
      <c r="E469" s="10">
        <v>4759.84</v>
      </c>
      <c r="F469" s="5" t="str">
        <f>IF(Table2[[#This Row],[sales]]&gt;3000,"High Sales",IF(Table2[[#This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2" t="str">
        <f>IF(AND(Table2[[#This Row],[customer_type]]="MEMBER",OR(Table2[[#This Row],[payment_mode]]="UPI",Table2[[#This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29" t="s">
        <v>13</v>
      </c>
      <c r="D470" s="15" t="s">
        <v>25</v>
      </c>
      <c r="E470" s="15">
        <v>614.12</v>
      </c>
      <c r="F470" s="5" t="str">
        <f>IF(Table2[[#This Row],[sales]]&gt;3000,"High Sales",IF(Table2[[#This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2" t="str">
        <f>IF(AND(Table2[[#This Row],[customer_type]]="MEMBER",OR(Table2[[#This Row],[payment_mode]]="UPI",Table2[[#This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577</v>
      </c>
      <c r="C471" s="30" t="s">
        <v>577</v>
      </c>
      <c r="D471" s="10" t="s">
        <v>34</v>
      </c>
      <c r="E471" s="10">
        <v>298.98</v>
      </c>
      <c r="F471" s="5" t="str">
        <f>IF(Table2[[#This Row],[sales]]&gt;3000,"High Sales",IF(Table2[[#This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2" t="str">
        <f>IF(AND(Table2[[#This Row],[customer_type]]="MEMBER",OR(Table2[[#This Row],[payment_mode]]="UPI",Table2[[#This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31" t="s">
        <v>24</v>
      </c>
      <c r="D472" s="15" t="s">
        <v>37</v>
      </c>
      <c r="E472" s="15">
        <v>4870.54</v>
      </c>
      <c r="F472" s="5" t="str">
        <f>IF(Table2[[#This Row],[sales]]&gt;3000,"High Sales",IF(Table2[[#This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2" t="str">
        <f>IF(AND(Table2[[#This Row],[customer_type]]="MEMBER",OR(Table2[[#This Row],[payment_mode]]="UPI",Table2[[#This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30" t="s">
        <v>29</v>
      </c>
      <c r="D473" s="10" t="s">
        <v>14</v>
      </c>
      <c r="E473" s="10">
        <v>492.94</v>
      </c>
      <c r="F473" s="5" t="str">
        <f>IF(Table2[[#This Row],[sales]]&gt;3000,"High Sales",IF(Table2[[#This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2" t="str">
        <f>IF(AND(Table2[[#This Row],[customer_type]]="MEMBER",OR(Table2[[#This Row],[payment_mode]]="UPI",Table2[[#This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29" t="s">
        <v>13</v>
      </c>
      <c r="D474" s="15" t="s">
        <v>34</v>
      </c>
      <c r="E474" s="15">
        <v>1992.36</v>
      </c>
      <c r="F474" s="5" t="str">
        <f>IF(Table2[[#This Row],[sales]]&gt;3000,"High Sales",IF(Table2[[#This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2" t="str">
        <f>IF(AND(Table2[[#This Row],[customer_type]]="MEMBER",OR(Table2[[#This Row],[payment_mode]]="UPI",Table2[[#This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577</v>
      </c>
      <c r="C475" s="30" t="s">
        <v>577</v>
      </c>
      <c r="D475" s="10" t="s">
        <v>25</v>
      </c>
      <c r="E475" s="10">
        <v>3284.86</v>
      </c>
      <c r="F475" s="5" t="str">
        <f>IF(Table2[[#This Row],[sales]]&gt;3000,"High Sales",IF(Table2[[#This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2" t="str">
        <f>IF(AND(Table2[[#This Row],[customer_type]]="MEMBER",OR(Table2[[#This Row],[payment_mode]]="UPI",Table2[[#This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31" t="s">
        <v>24</v>
      </c>
      <c r="D476" s="15" t="s">
        <v>14</v>
      </c>
      <c r="E476" s="15">
        <v>4412.28</v>
      </c>
      <c r="F476" s="5" t="str">
        <f>IF(Table2[[#This Row],[sales]]&gt;3000,"High Sales",IF(Table2[[#This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2" t="str">
        <f>IF(AND(Table2[[#This Row],[customer_type]]="MEMBER",OR(Table2[[#This Row],[payment_mode]]="UPI",Table2[[#This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30" t="s">
        <v>29</v>
      </c>
      <c r="D477" s="10" t="s">
        <v>34</v>
      </c>
      <c r="E477" s="10">
        <v>1347.43</v>
      </c>
      <c r="F477" s="5" t="str">
        <f>IF(Table2[[#This Row],[sales]]&gt;3000,"High Sales",IF(Table2[[#This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2" t="str">
        <f>IF(AND(Table2[[#This Row],[customer_type]]="MEMBER",OR(Table2[[#This Row],[payment_mode]]="UPI",Table2[[#This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29" t="s">
        <v>13</v>
      </c>
      <c r="D478" s="15" t="s">
        <v>14</v>
      </c>
      <c r="E478" s="15">
        <v>242.39</v>
      </c>
      <c r="F478" s="5" t="str">
        <f>IF(Table2[[#This Row],[sales]]&gt;3000,"High Sales",IF(Table2[[#This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2" t="str">
        <f>IF(AND(Table2[[#This Row],[customer_type]]="MEMBER",OR(Table2[[#This Row],[payment_mode]]="UPI",Table2[[#This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577</v>
      </c>
      <c r="C479" s="30" t="s">
        <v>577</v>
      </c>
      <c r="D479" s="10" t="s">
        <v>34</v>
      </c>
      <c r="E479" s="10">
        <v>2654.31</v>
      </c>
      <c r="F479" s="5" t="str">
        <f>IF(Table2[[#This Row],[sales]]&gt;3000,"High Sales",IF(Table2[[#This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2" t="str">
        <f>IF(AND(Table2[[#This Row],[customer_type]]="MEMBER",OR(Table2[[#This Row],[payment_mode]]="UPI",Table2[[#This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31" t="s">
        <v>24</v>
      </c>
      <c r="D480" s="15" t="s">
        <v>34</v>
      </c>
      <c r="E480" s="15">
        <v>2408.4499999999998</v>
      </c>
      <c r="F480" s="5" t="str">
        <f>IF(Table2[[#This Row],[sales]]&gt;3000,"High Sales",IF(Table2[[#This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2" t="str">
        <f>IF(AND(Table2[[#This Row],[customer_type]]="MEMBER",OR(Table2[[#This Row],[payment_mode]]="UPI",Table2[[#This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30" t="s">
        <v>29</v>
      </c>
      <c r="D481" s="10" t="s">
        <v>25</v>
      </c>
      <c r="E481" s="10">
        <v>1603.78</v>
      </c>
      <c r="F481" s="5" t="str">
        <f>IF(Table2[[#This Row],[sales]]&gt;3000,"High Sales",IF(Table2[[#This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2" t="str">
        <f>IF(AND(Table2[[#This Row],[customer_type]]="MEMBER",OR(Table2[[#This Row],[payment_mode]]="UPI",Table2[[#This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29" t="s">
        <v>13</v>
      </c>
      <c r="D482" s="15" t="s">
        <v>37</v>
      </c>
      <c r="E482" s="15">
        <v>4382.1099999999997</v>
      </c>
      <c r="F482" s="5" t="str">
        <f>IF(Table2[[#This Row],[sales]]&gt;3000,"High Sales",IF(Table2[[#This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2" t="str">
        <f>IF(AND(Table2[[#This Row],[customer_type]]="MEMBER",OR(Table2[[#This Row],[payment_mode]]="UPI",Table2[[#This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577</v>
      </c>
      <c r="C483" s="30" t="s">
        <v>577</v>
      </c>
      <c r="D483" s="10" t="s">
        <v>25</v>
      </c>
      <c r="E483" s="10">
        <v>3771.68</v>
      </c>
      <c r="F483" s="5" t="str">
        <f>IF(Table2[[#This Row],[sales]]&gt;3000,"High Sales",IF(Table2[[#This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2" t="str">
        <f>IF(AND(Table2[[#This Row],[customer_type]]="MEMBER",OR(Table2[[#This Row],[payment_mode]]="UPI",Table2[[#This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31" t="s">
        <v>24</v>
      </c>
      <c r="D484" s="15" t="s">
        <v>34</v>
      </c>
      <c r="E484" s="15">
        <v>4304.7700000000004</v>
      </c>
      <c r="F484" s="5" t="str">
        <f>IF(Table2[[#This Row],[sales]]&gt;3000,"High Sales",IF(Table2[[#This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2" t="str">
        <f>IF(AND(Table2[[#This Row],[customer_type]]="MEMBER",OR(Table2[[#This Row],[payment_mode]]="UPI",Table2[[#This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30" t="s">
        <v>29</v>
      </c>
      <c r="D485" s="10" t="s">
        <v>14</v>
      </c>
      <c r="E485" s="10">
        <v>892.86</v>
      </c>
      <c r="F485" s="5" t="str">
        <f>IF(Table2[[#This Row],[sales]]&gt;3000,"High Sales",IF(Table2[[#This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2" t="str">
        <f>IF(AND(Table2[[#This Row],[customer_type]]="MEMBER",OR(Table2[[#This Row],[payment_mode]]="UPI",Table2[[#This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29" t="s">
        <v>13</v>
      </c>
      <c r="D486" s="15" t="s">
        <v>25</v>
      </c>
      <c r="E486" s="15">
        <v>3492.82</v>
      </c>
      <c r="F486" s="5" t="str">
        <f>IF(Table2[[#This Row],[sales]]&gt;3000,"High Sales",IF(Table2[[#This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2" t="str">
        <f>IF(AND(Table2[[#This Row],[customer_type]]="MEMBER",OR(Table2[[#This Row],[payment_mode]]="UPI",Table2[[#This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577</v>
      </c>
      <c r="C487" s="30" t="s">
        <v>577</v>
      </c>
      <c r="D487" s="10" t="s">
        <v>37</v>
      </c>
      <c r="E487" s="10">
        <v>4878</v>
      </c>
      <c r="F487" s="5" t="str">
        <f>IF(Table2[[#This Row],[sales]]&gt;3000,"High Sales",IF(Table2[[#This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2" t="str">
        <f>IF(AND(Table2[[#This Row],[customer_type]]="MEMBER",OR(Table2[[#This Row],[payment_mode]]="UPI",Table2[[#This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31" t="s">
        <v>24</v>
      </c>
      <c r="D488" s="15" t="s">
        <v>34</v>
      </c>
      <c r="E488" s="15">
        <v>3098.38</v>
      </c>
      <c r="F488" s="5" t="str">
        <f>IF(Table2[[#This Row],[sales]]&gt;3000,"High Sales",IF(Table2[[#This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2" t="str">
        <f>IF(AND(Table2[[#This Row],[customer_type]]="MEMBER",OR(Table2[[#This Row],[payment_mode]]="UPI",Table2[[#This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30" t="s">
        <v>29</v>
      </c>
      <c r="D489" s="10" t="s">
        <v>25</v>
      </c>
      <c r="E489" s="10">
        <v>939.69</v>
      </c>
      <c r="F489" s="5" t="str">
        <f>IF(Table2[[#This Row],[sales]]&gt;3000,"High Sales",IF(Table2[[#This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2" t="str">
        <f>IF(AND(Table2[[#This Row],[customer_type]]="MEMBER",OR(Table2[[#This Row],[payment_mode]]="UPI",Table2[[#This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29" t="s">
        <v>13</v>
      </c>
      <c r="D490" s="15" t="s">
        <v>25</v>
      </c>
      <c r="E490" s="15">
        <v>4979.32</v>
      </c>
      <c r="F490" s="5" t="str">
        <f>IF(Table2[[#This Row],[sales]]&gt;3000,"High Sales",IF(Table2[[#This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2" t="str">
        <f>IF(AND(Table2[[#This Row],[customer_type]]="MEMBER",OR(Table2[[#This Row],[payment_mode]]="UPI",Table2[[#This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577</v>
      </c>
      <c r="C491" s="30" t="s">
        <v>577</v>
      </c>
      <c r="D491" s="10" t="s">
        <v>25</v>
      </c>
      <c r="E491" s="10">
        <v>2688.79</v>
      </c>
      <c r="F491" s="5" t="str">
        <f>IF(Table2[[#This Row],[sales]]&gt;3000,"High Sales",IF(Table2[[#This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2" t="str">
        <f>IF(AND(Table2[[#This Row],[customer_type]]="MEMBER",OR(Table2[[#This Row],[payment_mode]]="UPI",Table2[[#This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31" t="s">
        <v>24</v>
      </c>
      <c r="D492" s="15" t="s">
        <v>25</v>
      </c>
      <c r="E492" s="15">
        <v>4216.29</v>
      </c>
      <c r="F492" s="5" t="str">
        <f>IF(Table2[[#This Row],[sales]]&gt;3000,"High Sales",IF(Table2[[#This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2" t="str">
        <f>IF(AND(Table2[[#This Row],[customer_type]]="MEMBER",OR(Table2[[#This Row],[payment_mode]]="UPI",Table2[[#This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30" t="s">
        <v>29</v>
      </c>
      <c r="D493" s="10" t="s">
        <v>14</v>
      </c>
      <c r="E493" s="10">
        <v>831.87</v>
      </c>
      <c r="F493" s="5" t="str">
        <f>IF(Table2[[#This Row],[sales]]&gt;3000,"High Sales",IF(Table2[[#This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2" t="str">
        <f>IF(AND(Table2[[#This Row],[customer_type]]="MEMBER",OR(Table2[[#This Row],[payment_mode]]="UPI",Table2[[#This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29" t="s">
        <v>13</v>
      </c>
      <c r="D494" s="15" t="s">
        <v>37</v>
      </c>
      <c r="E494" s="15">
        <v>3363.87</v>
      </c>
      <c r="F494" s="5" t="str">
        <f>IF(Table2[[#This Row],[sales]]&gt;3000,"High Sales",IF(Table2[[#This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2" t="str">
        <f>IF(AND(Table2[[#This Row],[customer_type]]="MEMBER",OR(Table2[[#This Row],[payment_mode]]="UPI",Table2[[#This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577</v>
      </c>
      <c r="C495" s="30" t="s">
        <v>577</v>
      </c>
      <c r="D495" s="10" t="s">
        <v>37</v>
      </c>
      <c r="E495" s="10">
        <v>4571.83</v>
      </c>
      <c r="F495" s="5" t="str">
        <f>IF(Table2[[#This Row],[sales]]&gt;3000,"High Sales",IF(Table2[[#This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2" t="str">
        <f>IF(AND(Table2[[#This Row],[customer_type]]="MEMBER",OR(Table2[[#This Row],[payment_mode]]="UPI",Table2[[#This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31" t="s">
        <v>24</v>
      </c>
      <c r="D496" s="15" t="s">
        <v>34</v>
      </c>
      <c r="E496" s="15">
        <v>2706.89</v>
      </c>
      <c r="F496" s="5" t="str">
        <f>IF(Table2[[#This Row],[sales]]&gt;3000,"High Sales",IF(Table2[[#This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2" t="str">
        <f>IF(AND(Table2[[#This Row],[customer_type]]="MEMBER",OR(Table2[[#This Row],[payment_mode]]="UPI",Table2[[#This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30" t="s">
        <v>29</v>
      </c>
      <c r="D497" s="10" t="s">
        <v>19</v>
      </c>
      <c r="E497" s="10">
        <v>1514.43</v>
      </c>
      <c r="F497" s="5" t="str">
        <f>IF(Table2[[#This Row],[sales]]&gt;3000,"High Sales",IF(Table2[[#This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2" t="str">
        <f>IF(AND(Table2[[#This Row],[customer_type]]="MEMBER",OR(Table2[[#This Row],[payment_mode]]="UPI",Table2[[#This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29" t="s">
        <v>13</v>
      </c>
      <c r="D498" s="15" t="s">
        <v>14</v>
      </c>
      <c r="E498" s="15">
        <v>724.37</v>
      </c>
      <c r="F498" s="5" t="str">
        <f>IF(Table2[[#This Row],[sales]]&gt;3000,"High Sales",IF(Table2[[#This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2" t="str">
        <f>IF(AND(Table2[[#This Row],[customer_type]]="MEMBER",OR(Table2[[#This Row],[payment_mode]]="UPI",Table2[[#This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577</v>
      </c>
      <c r="C499" s="30" t="s">
        <v>577</v>
      </c>
      <c r="D499" s="10" t="s">
        <v>34</v>
      </c>
      <c r="E499" s="10">
        <v>1550.13</v>
      </c>
      <c r="F499" s="5" t="str">
        <f>IF(Table2[[#This Row],[sales]]&gt;3000,"High Sales",IF(Table2[[#This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2" t="str">
        <f>IF(AND(Table2[[#This Row],[customer_type]]="MEMBER",OR(Table2[[#This Row],[payment_mode]]="UPI",Table2[[#This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mergeCells count="5">
    <mergeCell ref="R4:U4"/>
    <mergeCell ref="R5:U5"/>
    <mergeCell ref="R6:U6"/>
    <mergeCell ref="R9:V9"/>
    <mergeCell ref="R10:V10"/>
  </mergeCells>
  <phoneticPr fontId="6" type="noConversion"/>
  <conditionalFormatting sqref="G2">
    <cfRule type="containsText" dxfId="2" priority="1" operator="containsText" text="clothing">
      <formula>NOT(ISERROR(SEARCH("clothing",G2)))</formula>
    </cfRule>
  </conditionalFormatting>
  <conditionalFormatting sqref="G2:G49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99">
    <cfRule type="colorScale" priority="3">
      <colorScale>
        <cfvo type="min"/>
        <cfvo type="max"/>
        <color rgb="FFFFFF00"/>
        <color rgb="FFFFFF00"/>
      </colorScale>
    </cfRule>
    <cfRule type="colorScale" priority="4">
      <colorScale>
        <cfvo type="min"/>
        <cfvo type="max"/>
        <color rgb="FFFFC000"/>
        <color rgb="FFFFC000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B46A8-45EF-4B03-A8AD-B9B82001695C}">
  <dimension ref="A1:G5"/>
  <sheetViews>
    <sheetView workbookViewId="0">
      <selection activeCell="F14" sqref="F14"/>
    </sheetView>
  </sheetViews>
  <sheetFormatPr defaultRowHeight="14.4" x14ac:dyDescent="0.3"/>
  <cols>
    <col min="1" max="1" width="9.88671875" style="24" customWidth="1"/>
    <col min="2" max="2" width="11.109375" style="24" customWidth="1"/>
    <col min="3" max="3" width="18.5546875" style="24" customWidth="1"/>
    <col min="4" max="4" width="21" style="24" bestFit="1" customWidth="1"/>
    <col min="5" max="5" width="9.77734375" style="24" customWidth="1"/>
    <col min="6" max="6" width="14.109375" style="24" customWidth="1"/>
    <col min="7" max="7" width="15.109375" style="24" customWidth="1"/>
    <col min="8" max="16384" width="8.88671875" style="24"/>
  </cols>
  <sheetData>
    <row r="1" spans="1:7" x14ac:dyDescent="0.3">
      <c r="A1" s="27" t="s">
        <v>545</v>
      </c>
      <c r="B1" s="27" t="s">
        <v>546</v>
      </c>
      <c r="C1" s="27" t="s">
        <v>547</v>
      </c>
      <c r="D1" s="27" t="s">
        <v>560</v>
      </c>
      <c r="E1" s="27" t="s">
        <v>565</v>
      </c>
      <c r="F1" s="27" t="s">
        <v>566</v>
      </c>
      <c r="G1" s="27" t="s">
        <v>575</v>
      </c>
    </row>
    <row r="2" spans="1:7" x14ac:dyDescent="0.3">
      <c r="A2" s="25" t="s">
        <v>548</v>
      </c>
      <c r="B2" s="25" t="s">
        <v>552</v>
      </c>
      <c r="C2" s="25" t="s">
        <v>556</v>
      </c>
      <c r="D2" s="26" t="s">
        <v>561</v>
      </c>
      <c r="E2" s="25" t="s">
        <v>567</v>
      </c>
      <c r="F2" s="25" t="s">
        <v>571</v>
      </c>
      <c r="G2" s="25">
        <v>8827472728</v>
      </c>
    </row>
    <row r="3" spans="1:7" x14ac:dyDescent="0.3">
      <c r="A3" s="25" t="s">
        <v>549</v>
      </c>
      <c r="B3" s="25" t="s">
        <v>553</v>
      </c>
      <c r="C3" s="25" t="s">
        <v>557</v>
      </c>
      <c r="D3" s="26" t="s">
        <v>562</v>
      </c>
      <c r="E3" s="25" t="s">
        <v>568</v>
      </c>
      <c r="F3" s="25" t="s">
        <v>572</v>
      </c>
      <c r="G3" s="25">
        <v>9454959579</v>
      </c>
    </row>
    <row r="4" spans="1:7" x14ac:dyDescent="0.3">
      <c r="A4" s="25" t="s">
        <v>550</v>
      </c>
      <c r="B4" s="25" t="s">
        <v>554</v>
      </c>
      <c r="C4" s="25" t="s">
        <v>558</v>
      </c>
      <c r="D4" s="26" t="s">
        <v>563</v>
      </c>
      <c r="E4" s="25" t="s">
        <v>569</v>
      </c>
      <c r="F4" s="25" t="s">
        <v>573</v>
      </c>
      <c r="G4" s="25">
        <v>7785646599</v>
      </c>
    </row>
    <row r="5" spans="1:7" x14ac:dyDescent="0.3">
      <c r="A5" s="25" t="s">
        <v>551</v>
      </c>
      <c r="B5" s="25" t="s">
        <v>555</v>
      </c>
      <c r="C5" s="25" t="s">
        <v>559</v>
      </c>
      <c r="D5" s="26" t="s">
        <v>564</v>
      </c>
      <c r="E5" s="25" t="s">
        <v>570</v>
      </c>
      <c r="F5" s="25" t="s">
        <v>574</v>
      </c>
      <c r="G5" s="25">
        <v>7549939920</v>
      </c>
    </row>
  </sheetData>
  <hyperlinks>
    <hyperlink ref="D2" r:id="rId1" xr:uid="{759AC51B-5F30-4382-AD5B-76363BC9A21F}"/>
    <hyperlink ref="D3" r:id="rId2" xr:uid="{DF01C6C4-B5E3-40F2-A33A-5C0810AE4496}"/>
    <hyperlink ref="D4" r:id="rId3" xr:uid="{F638EC1D-FF1B-43EE-A2DA-19D9039365DB}"/>
    <hyperlink ref="D5" r:id="rId4" xr:uid="{A7B6A2E3-6830-4A1D-ABA6-7C098A33C1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0397-03C8-4426-851B-2A179D9C789B}">
  <dimension ref="A1:O29"/>
  <sheetViews>
    <sheetView workbookViewId="0">
      <selection activeCell="O23" sqref="O23"/>
    </sheetView>
  </sheetViews>
  <sheetFormatPr defaultRowHeight="14.4" x14ac:dyDescent="0.3"/>
  <cols>
    <col min="1" max="1" width="11.33203125" bestFit="1" customWidth="1"/>
    <col min="2" max="2" width="12.109375" customWidth="1"/>
    <col min="3" max="3" width="10.33203125" bestFit="1" customWidth="1"/>
    <col min="4" max="4" width="14.109375" customWidth="1"/>
    <col min="5" max="5" width="15.88671875" bestFit="1" customWidth="1"/>
    <col min="6" max="6" width="30.6640625" customWidth="1"/>
    <col min="7" max="7" width="10.33203125" bestFit="1" customWidth="1"/>
    <col min="10" max="10" width="14.5546875" bestFit="1" customWidth="1"/>
    <col min="12" max="12" width="22" customWidth="1"/>
  </cols>
  <sheetData>
    <row r="1" spans="1:12" x14ac:dyDescent="0.3">
      <c r="A1" t="s">
        <v>578</v>
      </c>
      <c r="E1" t="s">
        <v>579</v>
      </c>
      <c r="G1" s="32" t="s">
        <v>580</v>
      </c>
      <c r="H1" s="32" t="s">
        <v>581</v>
      </c>
    </row>
    <row r="2" spans="1:12" x14ac:dyDescent="0.3">
      <c r="A2" t="s">
        <v>582</v>
      </c>
      <c r="B2" t="s">
        <v>583</v>
      </c>
      <c r="C2" t="s">
        <v>584</v>
      </c>
      <c r="E2" t="s">
        <v>585</v>
      </c>
      <c r="G2" s="33" t="s">
        <v>586</v>
      </c>
      <c r="H2" s="33">
        <v>75757</v>
      </c>
    </row>
    <row r="3" spans="1:12" x14ac:dyDescent="0.3">
      <c r="A3" t="s">
        <v>581</v>
      </c>
      <c r="B3" t="s">
        <v>584</v>
      </c>
      <c r="C3" t="s">
        <v>587</v>
      </c>
      <c r="E3" t="s">
        <v>588</v>
      </c>
      <c r="G3" s="33" t="s">
        <v>589</v>
      </c>
      <c r="H3" s="33">
        <v>47474</v>
      </c>
      <c r="L3" t="s">
        <v>590</v>
      </c>
    </row>
    <row r="4" spans="1:12" x14ac:dyDescent="0.3">
      <c r="A4" t="s">
        <v>591</v>
      </c>
      <c r="B4" t="s">
        <v>587</v>
      </c>
      <c r="C4" t="s">
        <v>587</v>
      </c>
      <c r="E4" t="s">
        <v>592</v>
      </c>
      <c r="G4" s="33" t="s">
        <v>593</v>
      </c>
      <c r="H4" s="33">
        <v>854454</v>
      </c>
      <c r="L4" t="s">
        <v>585</v>
      </c>
    </row>
    <row r="5" spans="1:12" x14ac:dyDescent="0.3">
      <c r="A5" t="s">
        <v>594</v>
      </c>
      <c r="E5" t="s">
        <v>595</v>
      </c>
      <c r="G5" s="33" t="s">
        <v>596</v>
      </c>
      <c r="H5" s="33">
        <v>96756</v>
      </c>
      <c r="L5" t="s">
        <v>588</v>
      </c>
    </row>
    <row r="6" spans="1:12" x14ac:dyDescent="0.3">
      <c r="E6" t="s">
        <v>597</v>
      </c>
      <c r="G6" s="33" t="s">
        <v>598</v>
      </c>
      <c r="H6" s="33"/>
      <c r="L6" t="s">
        <v>592</v>
      </c>
    </row>
    <row r="7" spans="1:12" x14ac:dyDescent="0.3">
      <c r="E7" t="s">
        <v>599</v>
      </c>
      <c r="G7" s="33" t="s">
        <v>600</v>
      </c>
      <c r="H7" s="33"/>
      <c r="L7" t="s">
        <v>595</v>
      </c>
    </row>
    <row r="8" spans="1:12" x14ac:dyDescent="0.3">
      <c r="L8" t="s">
        <v>597</v>
      </c>
    </row>
    <row r="9" spans="1:12" x14ac:dyDescent="0.3">
      <c r="L9" t="s">
        <v>599</v>
      </c>
    </row>
    <row r="10" spans="1:12" x14ac:dyDescent="0.3">
      <c r="L10" t="s">
        <v>585</v>
      </c>
    </row>
    <row r="11" spans="1:12" x14ac:dyDescent="0.3">
      <c r="C11" s="32" t="s">
        <v>601</v>
      </c>
      <c r="D11" s="32" t="s">
        <v>581</v>
      </c>
      <c r="E11" s="32" t="s">
        <v>602</v>
      </c>
    </row>
    <row r="12" spans="1:12" x14ac:dyDescent="0.3">
      <c r="C12" s="33" t="s">
        <v>603</v>
      </c>
      <c r="D12" s="33">
        <v>96756</v>
      </c>
      <c r="E12" s="33" t="str">
        <f>IF(D12&gt;50000,"Yes","No")</f>
        <v>Yes</v>
      </c>
    </row>
    <row r="13" spans="1:12" x14ac:dyDescent="0.3">
      <c r="C13" s="33" t="s">
        <v>604</v>
      </c>
      <c r="D13" s="33">
        <v>36334</v>
      </c>
      <c r="E13" s="33" t="str">
        <f t="shared" ref="E13:E19" si="0">IF(D13&gt;50000,"Yes","No")</f>
        <v>No</v>
      </c>
      <c r="G13" s="34" t="s">
        <v>605</v>
      </c>
      <c r="H13" s="34" t="s">
        <v>606</v>
      </c>
      <c r="I13" s="34" t="s">
        <v>607</v>
      </c>
      <c r="J13" s="34" t="s">
        <v>608</v>
      </c>
      <c r="K13" s="34" t="s">
        <v>609</v>
      </c>
      <c r="L13" s="34" t="s">
        <v>609</v>
      </c>
    </row>
    <row r="14" spans="1:12" x14ac:dyDescent="0.3">
      <c r="C14" s="33" t="s">
        <v>586</v>
      </c>
      <c r="D14" s="33">
        <v>47474</v>
      </c>
      <c r="E14" s="33" t="str">
        <f t="shared" si="0"/>
        <v>No</v>
      </c>
      <c r="G14" s="35" t="s">
        <v>610</v>
      </c>
      <c r="H14" s="33">
        <v>75</v>
      </c>
      <c r="I14" s="33">
        <v>86</v>
      </c>
      <c r="J14" s="33">
        <v>76</v>
      </c>
      <c r="K14" s="33" t="str">
        <f>IF(AND(H14,I14&gt;75),"A+")</f>
        <v>A+</v>
      </c>
      <c r="L14" s="33" t="str">
        <f>IF(AND(H14&gt;=75,I14&gt;=75),"A+")</f>
        <v>A+</v>
      </c>
    </row>
    <row r="15" spans="1:12" x14ac:dyDescent="0.3">
      <c r="C15" s="33" t="s">
        <v>611</v>
      </c>
      <c r="D15" s="33">
        <v>75757</v>
      </c>
      <c r="E15" s="33" t="str">
        <f t="shared" si="0"/>
        <v>Yes</v>
      </c>
      <c r="G15" s="35" t="s">
        <v>612</v>
      </c>
      <c r="H15" s="33">
        <v>78</v>
      </c>
      <c r="I15" s="33">
        <v>65</v>
      </c>
      <c r="J15" s="33">
        <v>44</v>
      </c>
      <c r="K15" s="33" t="b">
        <f t="shared" ref="K15:K17" si="1">IF(AND(H15,I15&gt;75),"A+")</f>
        <v>0</v>
      </c>
      <c r="L15" s="33" t="b">
        <f t="shared" ref="L15:L17" si="2">IF(AND(H15&gt;=75,I15&gt;=75),"A+")</f>
        <v>0</v>
      </c>
    </row>
    <row r="16" spans="1:12" x14ac:dyDescent="0.3">
      <c r="C16" s="33" t="s">
        <v>613</v>
      </c>
      <c r="D16" s="33">
        <v>85845</v>
      </c>
      <c r="E16" s="33" t="str">
        <f t="shared" si="0"/>
        <v>Yes</v>
      </c>
      <c r="G16" s="35" t="s">
        <v>614</v>
      </c>
      <c r="H16" s="33">
        <v>67</v>
      </c>
      <c r="I16" s="33">
        <v>88</v>
      </c>
      <c r="J16" s="33">
        <v>77</v>
      </c>
      <c r="K16" s="33" t="str">
        <f t="shared" si="1"/>
        <v>A+</v>
      </c>
      <c r="L16" s="33" t="b">
        <f t="shared" si="2"/>
        <v>0</v>
      </c>
    </row>
    <row r="17" spans="2:15" x14ac:dyDescent="0.3">
      <c r="C17" s="33" t="s">
        <v>615</v>
      </c>
      <c r="D17" s="33">
        <v>45333</v>
      </c>
      <c r="E17" s="33" t="str">
        <f t="shared" si="0"/>
        <v>No</v>
      </c>
      <c r="G17" s="35" t="s">
        <v>616</v>
      </c>
      <c r="H17" s="33">
        <v>93</v>
      </c>
      <c r="I17" s="33">
        <v>79</v>
      </c>
      <c r="J17" s="33">
        <v>68</v>
      </c>
      <c r="K17" s="33" t="str">
        <f t="shared" si="1"/>
        <v>A+</v>
      </c>
      <c r="L17" s="33" t="str">
        <f t="shared" si="2"/>
        <v>A+</v>
      </c>
    </row>
    <row r="18" spans="2:15" x14ac:dyDescent="0.3">
      <c r="C18" s="33" t="s">
        <v>617</v>
      </c>
      <c r="D18" s="33">
        <v>74644</v>
      </c>
      <c r="E18" s="33" t="str">
        <f t="shared" si="0"/>
        <v>Yes</v>
      </c>
    </row>
    <row r="19" spans="2:15" x14ac:dyDescent="0.3">
      <c r="C19" s="33" t="s">
        <v>589</v>
      </c>
      <c r="D19" s="33">
        <v>34367</v>
      </c>
      <c r="E19" s="33" t="str">
        <f t="shared" si="0"/>
        <v>No</v>
      </c>
      <c r="L19" s="58" t="s">
        <v>684</v>
      </c>
    </row>
    <row r="20" spans="2:15" x14ac:dyDescent="0.3">
      <c r="L20">
        <v>120</v>
      </c>
      <c r="N20">
        <f>SUBTOTAL(9,L20:L25)</f>
        <v>578</v>
      </c>
      <c r="O20" t="s">
        <v>685</v>
      </c>
    </row>
    <row r="21" spans="2:15" x14ac:dyDescent="0.3">
      <c r="G21" s="36" t="s">
        <v>605</v>
      </c>
      <c r="H21" s="36" t="s">
        <v>618</v>
      </c>
      <c r="I21" s="36" t="s">
        <v>619</v>
      </c>
      <c r="J21" s="36" t="s">
        <v>620</v>
      </c>
      <c r="L21">
        <v>10</v>
      </c>
      <c r="N21">
        <f>AVERAGE(L20:L25)</f>
        <v>96.333333333333329</v>
      </c>
      <c r="O21" t="s">
        <v>686</v>
      </c>
    </row>
    <row r="22" spans="2:15" x14ac:dyDescent="0.3">
      <c r="G22" s="35" t="s">
        <v>610</v>
      </c>
      <c r="H22" s="35" t="s">
        <v>621</v>
      </c>
      <c r="I22" s="33">
        <v>80</v>
      </c>
      <c r="J22" s="33" t="str">
        <f>IF(AND(H22="Nagpur",I22&gt;=75),"Shortlisted","Not_Shortlisted")</f>
        <v>Shortlisted</v>
      </c>
      <c r="L22">
        <v>150</v>
      </c>
    </row>
    <row r="23" spans="2:15" x14ac:dyDescent="0.3">
      <c r="G23" s="35" t="s">
        <v>612</v>
      </c>
      <c r="H23" s="35" t="s">
        <v>27</v>
      </c>
      <c r="I23" s="33">
        <v>87</v>
      </c>
      <c r="J23" s="33" t="str">
        <f t="shared" ref="J23:J25" si="3">IF(AND(H23="Nagpur",I23&gt;=75),"Shortlisted","Not_Shortlisted")</f>
        <v>Not_Shortlisted</v>
      </c>
      <c r="L23">
        <v>23</v>
      </c>
      <c r="N23" t="s">
        <v>687</v>
      </c>
    </row>
    <row r="24" spans="2:15" x14ac:dyDescent="0.3">
      <c r="G24" s="35" t="s">
        <v>614</v>
      </c>
      <c r="H24" s="35" t="s">
        <v>621</v>
      </c>
      <c r="I24" s="33">
        <v>60</v>
      </c>
      <c r="J24" s="33" t="str">
        <f t="shared" si="3"/>
        <v>Not_Shortlisted</v>
      </c>
      <c r="L24">
        <v>45</v>
      </c>
    </row>
    <row r="25" spans="2:15" x14ac:dyDescent="0.3">
      <c r="B25" s="33" t="s">
        <v>578</v>
      </c>
      <c r="C25" s="33" t="s">
        <v>681</v>
      </c>
      <c r="D25" s="33" t="s">
        <v>682</v>
      </c>
      <c r="G25" s="35" t="s">
        <v>616</v>
      </c>
      <c r="H25" s="35" t="s">
        <v>622</v>
      </c>
      <c r="I25" s="33">
        <v>77</v>
      </c>
      <c r="J25" s="33" t="str">
        <f t="shared" si="3"/>
        <v>Not_Shortlisted</v>
      </c>
      <c r="L25">
        <v>230</v>
      </c>
    </row>
    <row r="26" spans="2:15" x14ac:dyDescent="0.3">
      <c r="B26" s="33" t="s">
        <v>582</v>
      </c>
      <c r="C26" s="33" t="s">
        <v>585</v>
      </c>
      <c r="D26" s="33">
        <v>1001</v>
      </c>
    </row>
    <row r="27" spans="2:15" x14ac:dyDescent="0.3">
      <c r="B27" s="33" t="s">
        <v>581</v>
      </c>
      <c r="C27" s="33" t="s">
        <v>588</v>
      </c>
      <c r="D27" s="33">
        <v>1002</v>
      </c>
      <c r="F27" t="s">
        <v>683</v>
      </c>
    </row>
    <row r="28" spans="2:15" x14ac:dyDescent="0.3">
      <c r="B28" s="33" t="s">
        <v>591</v>
      </c>
      <c r="C28" s="33" t="s">
        <v>592</v>
      </c>
      <c r="D28" s="33">
        <v>1001</v>
      </c>
      <c r="F28">
        <f>COUNTIF(C25:C29,"Ankit")</f>
        <v>1</v>
      </c>
    </row>
    <row r="29" spans="2:15" x14ac:dyDescent="0.3">
      <c r="B29" s="33" t="s">
        <v>594</v>
      </c>
      <c r="C29" s="33" t="s">
        <v>595</v>
      </c>
      <c r="D29" s="33">
        <v>1002</v>
      </c>
    </row>
  </sheetData>
  <autoFilter ref="L19:L26" xr:uid="{631D0397-03C8-4426-851B-2A179D9C789B}"/>
  <conditionalFormatting sqref="C11:D1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{ECF95123-E755-4CB0-A38F-C00C435046C2}</x14:id>
        </ext>
      </extLst>
    </cfRule>
  </conditionalFormatting>
  <conditionalFormatting sqref="D11:D19">
    <cfRule type="cellIs" dxfId="1" priority="1" operator="lessThan">
      <formula>50000</formula>
    </cfRule>
    <cfRule type="cellIs" dxfId="0" priority="2" operator="greaterThan">
      <formula>50000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F95123-E755-4CB0-A38F-C00C435046C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C11:D19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F2D3-E603-41C0-A769-745F21BD7E78}">
  <dimension ref="A1:F52"/>
  <sheetViews>
    <sheetView topLeftCell="A18" zoomScale="114" zoomScaleNormal="114" workbookViewId="0">
      <selection activeCell="D48" sqref="D48"/>
    </sheetView>
  </sheetViews>
  <sheetFormatPr defaultRowHeight="14.4" x14ac:dyDescent="0.3"/>
  <cols>
    <col min="1" max="1" width="10.88671875" bestFit="1" customWidth="1"/>
    <col min="2" max="2" width="9.88671875" bestFit="1" customWidth="1"/>
    <col min="3" max="3" width="13.21875" customWidth="1"/>
    <col min="4" max="4" width="13" bestFit="1" customWidth="1"/>
    <col min="5" max="5" width="15.77734375" bestFit="1" customWidth="1"/>
  </cols>
  <sheetData>
    <row r="1" spans="1:6" x14ac:dyDescent="0.3">
      <c r="A1" s="34" t="s">
        <v>605</v>
      </c>
      <c r="B1" s="37" t="s">
        <v>619</v>
      </c>
      <c r="C1" s="38" t="s">
        <v>609</v>
      </c>
      <c r="E1" t="s">
        <v>623</v>
      </c>
      <c r="F1" t="s">
        <v>628</v>
      </c>
    </row>
    <row r="2" spans="1:6" x14ac:dyDescent="0.3">
      <c r="A2" s="35" t="s">
        <v>610</v>
      </c>
      <c r="B2" s="40">
        <v>75</v>
      </c>
      <c r="C2" s="33">
        <f>IF(B2&gt;90,"A++",)</f>
        <v>0</v>
      </c>
      <c r="E2" t="s">
        <v>624</v>
      </c>
      <c r="F2" t="s">
        <v>629</v>
      </c>
    </row>
    <row r="3" spans="1:6" x14ac:dyDescent="0.3">
      <c r="A3" s="35" t="s">
        <v>612</v>
      </c>
      <c r="B3" s="40">
        <v>78</v>
      </c>
      <c r="C3" s="33"/>
      <c r="E3" t="s">
        <v>625</v>
      </c>
      <c r="F3" t="s">
        <v>630</v>
      </c>
    </row>
    <row r="4" spans="1:6" x14ac:dyDescent="0.3">
      <c r="A4" s="35" t="s">
        <v>614</v>
      </c>
      <c r="B4" s="40">
        <v>67</v>
      </c>
      <c r="C4" s="33"/>
      <c r="E4" t="s">
        <v>626</v>
      </c>
      <c r="F4" t="s">
        <v>631</v>
      </c>
    </row>
    <row r="5" spans="1:6" x14ac:dyDescent="0.3">
      <c r="A5" s="35" t="s">
        <v>616</v>
      </c>
      <c r="B5" s="40">
        <v>93</v>
      </c>
      <c r="C5" s="33"/>
      <c r="E5" t="s">
        <v>627</v>
      </c>
      <c r="F5" t="s">
        <v>632</v>
      </c>
    </row>
    <row r="10" spans="1:6" x14ac:dyDescent="0.3">
      <c r="A10" s="34" t="s">
        <v>605</v>
      </c>
      <c r="B10" s="37" t="s">
        <v>633</v>
      </c>
      <c r="C10" s="37" t="s">
        <v>635</v>
      </c>
      <c r="D10" s="37" t="s">
        <v>639</v>
      </c>
    </row>
    <row r="11" spans="1:6" x14ac:dyDescent="0.3">
      <c r="A11" s="42" t="s">
        <v>610</v>
      </c>
      <c r="B11" s="39">
        <v>70000</v>
      </c>
      <c r="C11" s="39"/>
      <c r="D11" s="39"/>
    </row>
    <row r="12" spans="1:6" x14ac:dyDescent="0.3">
      <c r="A12" s="42" t="s">
        <v>612</v>
      </c>
      <c r="B12" s="39">
        <v>50000</v>
      </c>
      <c r="C12" s="39"/>
      <c r="D12" s="39"/>
    </row>
    <row r="13" spans="1:6" x14ac:dyDescent="0.3">
      <c r="A13" s="42" t="s">
        <v>614</v>
      </c>
      <c r="B13" s="39">
        <v>45000</v>
      </c>
      <c r="C13" s="39"/>
      <c r="D13" s="39"/>
    </row>
    <row r="14" spans="1:6" x14ac:dyDescent="0.3">
      <c r="A14" s="42" t="s">
        <v>616</v>
      </c>
      <c r="B14" s="39">
        <v>75000</v>
      </c>
      <c r="C14" s="39"/>
      <c r="D14" s="39"/>
    </row>
    <row r="15" spans="1:6" x14ac:dyDescent="0.3">
      <c r="A15" s="43" t="s">
        <v>634</v>
      </c>
      <c r="B15" s="39">
        <v>55000</v>
      </c>
      <c r="C15" s="39"/>
      <c r="D15" s="39"/>
      <c r="E15" t="s">
        <v>638</v>
      </c>
      <c r="F15" t="s">
        <v>635</v>
      </c>
    </row>
    <row r="16" spans="1:6" x14ac:dyDescent="0.3">
      <c r="E16">
        <v>75000</v>
      </c>
      <c r="F16" s="41">
        <v>0.15</v>
      </c>
    </row>
    <row r="17" spans="1:6" x14ac:dyDescent="0.3">
      <c r="E17">
        <v>70000</v>
      </c>
      <c r="F17" s="41">
        <v>0.1</v>
      </c>
    </row>
    <row r="18" spans="1:6" x14ac:dyDescent="0.3">
      <c r="E18">
        <v>50000</v>
      </c>
      <c r="F18" s="41">
        <v>0.05</v>
      </c>
    </row>
    <row r="19" spans="1:6" x14ac:dyDescent="0.3">
      <c r="E19" t="s">
        <v>636</v>
      </c>
      <c r="F19" t="s">
        <v>637</v>
      </c>
    </row>
    <row r="22" spans="1:6" x14ac:dyDescent="0.3">
      <c r="A22" t="s">
        <v>640</v>
      </c>
      <c r="B22" t="s">
        <v>641</v>
      </c>
      <c r="C22" t="s">
        <v>642</v>
      </c>
    </row>
    <row r="23" spans="1:6" x14ac:dyDescent="0.3">
      <c r="A23">
        <v>27</v>
      </c>
      <c r="B23">
        <v>6</v>
      </c>
    </row>
    <row r="24" spans="1:6" x14ac:dyDescent="0.3">
      <c r="A24">
        <v>45</v>
      </c>
      <c r="B24">
        <v>7</v>
      </c>
    </row>
    <row r="25" spans="1:6" x14ac:dyDescent="0.3">
      <c r="A25">
        <v>65</v>
      </c>
      <c r="B25">
        <v>0</v>
      </c>
    </row>
    <row r="26" spans="1:6" x14ac:dyDescent="0.3">
      <c r="A26">
        <v>60</v>
      </c>
      <c r="B26">
        <v>7</v>
      </c>
    </row>
    <row r="27" spans="1:6" x14ac:dyDescent="0.3">
      <c r="A27">
        <v>36</v>
      </c>
      <c r="B27">
        <v>6</v>
      </c>
    </row>
    <row r="28" spans="1:6" x14ac:dyDescent="0.3">
      <c r="A28" s="34" t="s">
        <v>605</v>
      </c>
      <c r="B28" s="37" t="s">
        <v>633</v>
      </c>
      <c r="C28" s="37" t="s">
        <v>635</v>
      </c>
      <c r="D28" s="37" t="s">
        <v>639</v>
      </c>
    </row>
    <row r="29" spans="1:6" x14ac:dyDescent="0.3">
      <c r="A29" s="42" t="s">
        <v>610</v>
      </c>
      <c r="B29" s="39">
        <v>70000</v>
      </c>
      <c r="C29" s="39"/>
      <c r="D29" s="39"/>
    </row>
    <row r="30" spans="1:6" x14ac:dyDescent="0.3">
      <c r="A30" s="42" t="s">
        <v>612</v>
      </c>
      <c r="B30" s="39">
        <v>50000</v>
      </c>
      <c r="C30" s="39"/>
      <c r="D30" s="39"/>
    </row>
    <row r="31" spans="1:6" x14ac:dyDescent="0.3">
      <c r="A31" s="42" t="s">
        <v>614</v>
      </c>
      <c r="B31" s="39">
        <v>45000</v>
      </c>
      <c r="C31" s="39"/>
      <c r="D31" s="39"/>
    </row>
    <row r="32" spans="1:6" x14ac:dyDescent="0.3">
      <c r="A32" s="42" t="s">
        <v>616</v>
      </c>
      <c r="B32" s="39">
        <v>75000</v>
      </c>
      <c r="C32" s="39"/>
      <c r="D32" s="39"/>
    </row>
    <row r="33" spans="1:6" x14ac:dyDescent="0.3">
      <c r="A33" s="43" t="s">
        <v>634</v>
      </c>
      <c r="B33" s="39">
        <v>55000</v>
      </c>
      <c r="C33" s="39"/>
      <c r="D33" s="39"/>
    </row>
    <row r="36" spans="1:6" x14ac:dyDescent="0.3">
      <c r="A36" s="64" t="s">
        <v>645</v>
      </c>
      <c r="B36" s="64"/>
      <c r="C36" s="45">
        <f>SUMIF(B29:B33,"&gt;50000",B29:B33)</f>
        <v>200000</v>
      </c>
    </row>
    <row r="39" spans="1:6" ht="21" customHeight="1" x14ac:dyDescent="0.3"/>
    <row r="40" spans="1:6" ht="19.2" customHeight="1" x14ac:dyDescent="0.3"/>
    <row r="41" spans="1:6" ht="16.8" customHeight="1" x14ac:dyDescent="0.3"/>
    <row r="42" spans="1:6" ht="16.8" customHeight="1" x14ac:dyDescent="0.3">
      <c r="E42" s="54"/>
      <c r="F42" s="55"/>
    </row>
    <row r="44" spans="1:6" ht="15" thickBot="1" x14ac:dyDescent="0.35"/>
    <row r="45" spans="1:6" ht="16.8" customHeight="1" thickBot="1" x14ac:dyDescent="0.35">
      <c r="A45" s="50" t="s">
        <v>2</v>
      </c>
      <c r="B45" s="50" t="s">
        <v>649</v>
      </c>
      <c r="C45" s="50" t="s">
        <v>581</v>
      </c>
      <c r="E45" s="51" t="s">
        <v>658</v>
      </c>
      <c r="F45" s="52">
        <f>SUMIF(A46:A52,"Fruits",(C46:C52))</f>
        <v>2000</v>
      </c>
    </row>
    <row r="46" spans="1:6" ht="23.4" customHeight="1" x14ac:dyDescent="0.3">
      <c r="A46" s="48" t="s">
        <v>650</v>
      </c>
      <c r="B46" s="48" t="s">
        <v>651</v>
      </c>
      <c r="C46" s="49">
        <v>2300</v>
      </c>
      <c r="E46" s="53" t="s">
        <v>659</v>
      </c>
      <c r="F46" s="52">
        <f>SUMIF(A47:A52,"",(C47:C52))</f>
        <v>430</v>
      </c>
    </row>
    <row r="47" spans="1:6" ht="24.6" customHeight="1" x14ac:dyDescent="0.3">
      <c r="A47" s="48" t="s">
        <v>650</v>
      </c>
      <c r="B47" s="48" t="s">
        <v>652</v>
      </c>
      <c r="C47" s="49">
        <v>5500</v>
      </c>
    </row>
    <row r="48" spans="1:6" ht="19.8" customHeight="1" x14ac:dyDescent="0.3">
      <c r="A48" s="48"/>
      <c r="B48" s="48" t="s">
        <v>660</v>
      </c>
      <c r="C48" s="49">
        <v>30</v>
      </c>
    </row>
    <row r="49" spans="1:3" ht="15" x14ac:dyDescent="0.3">
      <c r="A49" s="48" t="s">
        <v>653</v>
      </c>
      <c r="B49" s="48" t="s">
        <v>654</v>
      </c>
      <c r="C49" s="49">
        <v>800</v>
      </c>
    </row>
    <row r="50" spans="1:3" ht="15" x14ac:dyDescent="0.3">
      <c r="A50" s="48"/>
      <c r="B50" s="48" t="s">
        <v>655</v>
      </c>
      <c r="C50" s="49">
        <v>400</v>
      </c>
    </row>
    <row r="51" spans="1:3" ht="30" x14ac:dyDescent="0.3">
      <c r="A51" s="48" t="s">
        <v>650</v>
      </c>
      <c r="B51" s="48" t="s">
        <v>656</v>
      </c>
      <c r="C51" s="49">
        <v>4200</v>
      </c>
    </row>
    <row r="52" spans="1:3" ht="15" x14ac:dyDescent="0.3">
      <c r="A52" s="48" t="s">
        <v>653</v>
      </c>
      <c r="B52" s="48" t="s">
        <v>657</v>
      </c>
      <c r="C52" s="49">
        <v>1200</v>
      </c>
    </row>
  </sheetData>
  <mergeCells count="1">
    <mergeCell ref="A36:B3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Sheet1</vt:lpstr>
      <vt:lpstr>Sheet2</vt:lpstr>
      <vt:lpstr>Sheet3</vt:lpstr>
      <vt:lpstr>Sheet4</vt:lpstr>
      <vt:lpstr>Category</vt:lpstr>
      <vt:lpstr>discount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twinkle manmode</cp:lastModifiedBy>
  <dcterms:created xsi:type="dcterms:W3CDTF">2026-04-17T06:18:56Z</dcterms:created>
  <dcterms:modified xsi:type="dcterms:W3CDTF">2026-07-09T13:14:52Z</dcterms:modified>
</cp:coreProperties>
</file>